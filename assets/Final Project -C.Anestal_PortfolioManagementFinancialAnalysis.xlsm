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26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sfedu-my.sharepoint.com/personal/cta1_usf_edu/Documents/Coursework/Spring 2026/Financial Modeling and Analytics/Final Project/"/>
    </mc:Choice>
  </mc:AlternateContent>
  <xr:revisionPtr revIDLastSave="428" documentId="8_{3C2301EA-65B3-1842-A70D-86B919550604}" xr6:coauthVersionLast="47" xr6:coauthVersionMax="47" xr10:uidLastSave="{1AE4D49F-140A-C64E-B992-9DB099D52A99}"/>
  <bookViews>
    <workbookView xWindow="13500" yWindow="500" windowWidth="15220" windowHeight="17500" activeTab="3" xr2:uid="{00000000-000D-0000-FFFF-FFFF00000000}"/>
  </bookViews>
  <sheets>
    <sheet name="NVDA Stock Price History " sheetId="10" r:id="rId1"/>
    <sheet name="JPM Stock Price History" sheetId="11" r:id="rId2"/>
    <sheet name="JNJ Stock Price History " sheetId="9" r:id="rId3"/>
    <sheet name="Portfolio" sheetId="12" r:id="rId4"/>
    <sheet name="AvgMonthlyReturns&amp;SD" sheetId="6" r:id="rId5"/>
    <sheet name="Sample VarianceCoVarMatrix" sheetId="14" r:id="rId6"/>
    <sheet name="Efficient Frontier" sheetId="15" r:id="rId7"/>
    <sheet name="RiskFreeAsset+CML" sheetId="16" r:id="rId8"/>
    <sheet name="Market Portfolio" sheetId="17" r:id="rId9"/>
    <sheet name="Put" sheetId="18" r:id="rId10"/>
    <sheet name="BSM" sheetId="19" r:id="rId11"/>
    <sheet name="Delta" sheetId="20" r:id="rId12"/>
  </sheets>
  <functionGroups builtInGroupCount="19"/>
  <definedNames>
    <definedName name="_xleta.LN" hidden="1" xlm="1">#NAME?</definedName>
    <definedName name="ExternalData_1" localSheetId="2" hidden="1">'JNJ Stock Price History '!$A$1:$G$65</definedName>
    <definedName name="ExternalData_2" localSheetId="1" hidden="1">'JPM Stock Price History'!$A$1:$G$65</definedName>
    <definedName name="ExternalData_2" localSheetId="0" hidden="1">'NVDA Stock Price History '!$A$1:$G$65</definedName>
    <definedName name="solver_adj" localSheetId="6" hidden="1">'Efficient Frontier'!$R$12:$R$14</definedName>
    <definedName name="solver_adj" localSheetId="8" hidden="1">'Market Portfolio'!$S$12:$S$15</definedName>
    <definedName name="solver_adj" localSheetId="7" hidden="1">'RiskFreeAsset+CML'!$R$12:$R$15</definedName>
    <definedName name="solver_cvg" localSheetId="6" hidden="1">0.0001</definedName>
    <definedName name="solver_cvg" localSheetId="8" hidden="1">0.0001</definedName>
    <definedName name="solver_cvg" localSheetId="7" hidden="1">0.0001</definedName>
    <definedName name="solver_drv" localSheetId="6" hidden="1">1</definedName>
    <definedName name="solver_drv" localSheetId="8" hidden="1">1</definedName>
    <definedName name="solver_drv" localSheetId="7" hidden="1">1</definedName>
    <definedName name="solver_eng" localSheetId="6" hidden="1">1</definedName>
    <definedName name="solver_eng" localSheetId="8" hidden="1">1</definedName>
    <definedName name="solver_eng" localSheetId="7" hidden="1">1</definedName>
    <definedName name="solver_itr" localSheetId="6" hidden="1">2147483647</definedName>
    <definedName name="solver_itr" localSheetId="8" hidden="1">2147483647</definedName>
    <definedName name="solver_itr" localSheetId="7" hidden="1">2147483647</definedName>
    <definedName name="solver_lhs1" localSheetId="6" hidden="1">'Efficient Frontier'!$R$15</definedName>
    <definedName name="solver_lhs1" localSheetId="8" hidden="1">'Market Portfolio'!$S$15</definedName>
    <definedName name="solver_lhs1" localSheetId="7" hidden="1">'RiskFreeAsset+CML'!$R$16</definedName>
    <definedName name="solver_lhs2" localSheetId="6" hidden="1">'Efficient Frontier'!$R$16</definedName>
    <definedName name="solver_lhs2" localSheetId="8" hidden="1">'Market Portfolio'!$S$16</definedName>
    <definedName name="solver_lhs2" localSheetId="7" hidden="1">'RiskFreeAsset+CML'!$R$17</definedName>
    <definedName name="solver_lin" localSheetId="6" hidden="1">2</definedName>
    <definedName name="solver_lin" localSheetId="8" hidden="1">2</definedName>
    <definedName name="solver_lin" localSheetId="7" hidden="1">2</definedName>
    <definedName name="solver_mip" localSheetId="6" hidden="1">2147483647</definedName>
    <definedName name="solver_mip" localSheetId="8" hidden="1">2147483647</definedName>
    <definedName name="solver_mip" localSheetId="7" hidden="1">2147483647</definedName>
    <definedName name="solver_mni" localSheetId="6" hidden="1">30</definedName>
    <definedName name="solver_mni" localSheetId="8" hidden="1">30</definedName>
    <definedName name="solver_mni" localSheetId="7" hidden="1">30</definedName>
    <definedName name="solver_mrt" localSheetId="6" hidden="1">0.075</definedName>
    <definedName name="solver_mrt" localSheetId="8" hidden="1">0.075</definedName>
    <definedName name="solver_mrt" localSheetId="7" hidden="1">0.075</definedName>
    <definedName name="solver_msl" localSheetId="6" hidden="1">2</definedName>
    <definedName name="solver_msl" localSheetId="8" hidden="1">2</definedName>
    <definedName name="solver_msl" localSheetId="7" hidden="1">2</definedName>
    <definedName name="solver_neg" localSheetId="6" hidden="1">2</definedName>
    <definedName name="solver_neg" localSheetId="8" hidden="1">2</definedName>
    <definedName name="solver_neg" localSheetId="7" hidden="1">2</definedName>
    <definedName name="solver_nod" localSheetId="6" hidden="1">2147483647</definedName>
    <definedName name="solver_nod" localSheetId="8" hidden="1">2147483647</definedName>
    <definedName name="solver_nod" localSheetId="7" hidden="1">2147483647</definedName>
    <definedName name="solver_num" localSheetId="6" hidden="1">2</definedName>
    <definedName name="solver_num" localSheetId="8" hidden="1">2</definedName>
    <definedName name="solver_num" localSheetId="7" hidden="1">2</definedName>
    <definedName name="solver_opt" localSheetId="6" hidden="1">'Efficient Frontier'!$R$17</definedName>
    <definedName name="solver_opt" localSheetId="8" hidden="1">'Market Portfolio'!$S$19</definedName>
    <definedName name="solver_opt" localSheetId="7" hidden="1">'RiskFreeAsset+CML'!$R$18</definedName>
    <definedName name="solver_pre" localSheetId="6" hidden="1">0.000001</definedName>
    <definedName name="solver_pre" localSheetId="8" hidden="1">0.000001</definedName>
    <definedName name="solver_pre" localSheetId="7" hidden="1">0.000001</definedName>
    <definedName name="solver_rbv" localSheetId="6" hidden="1">1</definedName>
    <definedName name="solver_rbv" localSheetId="8" hidden="1">1</definedName>
    <definedName name="solver_rbv" localSheetId="7" hidden="1">1</definedName>
    <definedName name="solver_rel1" localSheetId="6" hidden="1">2</definedName>
    <definedName name="solver_rel1" localSheetId="8" hidden="1">2</definedName>
    <definedName name="solver_rel1" localSheetId="7" hidden="1">2</definedName>
    <definedName name="solver_rel2" localSheetId="6" hidden="1">2</definedName>
    <definedName name="solver_rel2" localSheetId="8" hidden="1">2</definedName>
    <definedName name="solver_rel2" localSheetId="7" hidden="1">2</definedName>
    <definedName name="solver_rhs1" localSheetId="6" hidden="1">1</definedName>
    <definedName name="solver_rhs1" localSheetId="8" hidden="1">0</definedName>
    <definedName name="solver_rhs1" localSheetId="7" hidden="1">1</definedName>
    <definedName name="solver_rhs2" localSheetId="6" hidden="1">'Efficient Frontier'!$B$62</definedName>
    <definedName name="solver_rhs2" localSheetId="8" hidden="1">1</definedName>
    <definedName name="solver_rhs2" localSheetId="7" hidden="1">'RiskFreeAsset+CML'!$B$62</definedName>
    <definedName name="solver_rlx" localSheetId="6" hidden="1">2</definedName>
    <definedName name="solver_rlx" localSheetId="8" hidden="1">2</definedName>
    <definedName name="solver_rlx" localSheetId="7" hidden="1">2</definedName>
    <definedName name="solver_rsd" localSheetId="6" hidden="1">0</definedName>
    <definedName name="solver_rsd" localSheetId="8" hidden="1">0</definedName>
    <definedName name="solver_rsd" localSheetId="7" hidden="1">0</definedName>
    <definedName name="solver_scl" localSheetId="6" hidden="1">1</definedName>
    <definedName name="solver_scl" localSheetId="8" hidden="1">1</definedName>
    <definedName name="solver_scl" localSheetId="7" hidden="1">1</definedName>
    <definedName name="solver_sho" localSheetId="6" hidden="1">2</definedName>
    <definedName name="solver_sho" localSheetId="8" hidden="1">2</definedName>
    <definedName name="solver_sho" localSheetId="7" hidden="1">2</definedName>
    <definedName name="solver_ssz" localSheetId="6" hidden="1">100</definedName>
    <definedName name="solver_ssz" localSheetId="8" hidden="1">100</definedName>
    <definedName name="solver_ssz" localSheetId="7" hidden="1">100</definedName>
    <definedName name="solver_tim" localSheetId="6" hidden="1">2147483647</definedName>
    <definedName name="solver_tim" localSheetId="8" hidden="1">2147483647</definedName>
    <definedName name="solver_tim" localSheetId="7" hidden="1">2147483647</definedName>
    <definedName name="solver_tol" localSheetId="6" hidden="1">0.01</definedName>
    <definedName name="solver_tol" localSheetId="8" hidden="1">0.01</definedName>
    <definedName name="solver_tol" localSheetId="7" hidden="1">0.01</definedName>
    <definedName name="solver_typ" localSheetId="6" hidden="1">2</definedName>
    <definedName name="solver_typ" localSheetId="8" hidden="1">1</definedName>
    <definedName name="solver_typ" localSheetId="7" hidden="1">2</definedName>
    <definedName name="solver_val" localSheetId="6" hidden="1">0</definedName>
    <definedName name="solver_val" localSheetId="8" hidden="1">0</definedName>
    <definedName name="solver_val" localSheetId="7" hidden="1">0</definedName>
    <definedName name="solver_ver" localSheetId="6" hidden="1">2</definedName>
    <definedName name="solver_ver" localSheetId="8" hidden="1">2</definedName>
    <definedName name="solver_ver" localSheetId="7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19" l="1"/>
  <c r="B18" i="18"/>
  <c r="B17" i="18"/>
  <c r="H3" i="15" a="1"/>
  <c r="H3" i="15" s="1"/>
  <c r="H3" i="14" a="1"/>
  <c r="H3" i="14" s="1"/>
  <c r="J4" i="14"/>
  <c r="D61" i="17"/>
  <c r="C61" i="17"/>
  <c r="B61" i="17"/>
  <c r="D60" i="17"/>
  <c r="C60" i="17"/>
  <c r="B60" i="17"/>
  <c r="D59" i="17"/>
  <c r="C59" i="17"/>
  <c r="B59" i="17"/>
  <c r="D58" i="17"/>
  <c r="C58" i="17"/>
  <c r="B58" i="17"/>
  <c r="D57" i="17"/>
  <c r="C57" i="17"/>
  <c r="B57" i="17"/>
  <c r="D56" i="17"/>
  <c r="C56" i="17"/>
  <c r="B56" i="17"/>
  <c r="D55" i="17"/>
  <c r="C55" i="17"/>
  <c r="B55" i="17"/>
  <c r="D54" i="17"/>
  <c r="C54" i="17"/>
  <c r="B54" i="17"/>
  <c r="D53" i="17"/>
  <c r="C53" i="17"/>
  <c r="B53" i="17"/>
  <c r="D52" i="17"/>
  <c r="C52" i="17"/>
  <c r="B52" i="17"/>
  <c r="D51" i="17"/>
  <c r="C51" i="17"/>
  <c r="B51" i="17"/>
  <c r="D50" i="17"/>
  <c r="C50" i="17"/>
  <c r="B50" i="17"/>
  <c r="D49" i="17"/>
  <c r="C49" i="17"/>
  <c r="B49" i="17"/>
  <c r="D48" i="17"/>
  <c r="C48" i="17"/>
  <c r="B48" i="17"/>
  <c r="D47" i="17"/>
  <c r="C47" i="17"/>
  <c r="B47" i="17"/>
  <c r="D46" i="17"/>
  <c r="C46" i="17"/>
  <c r="B46" i="17"/>
  <c r="D45" i="17"/>
  <c r="C45" i="17"/>
  <c r="B45" i="17"/>
  <c r="D44" i="17"/>
  <c r="C44" i="17"/>
  <c r="B44" i="17"/>
  <c r="D43" i="17"/>
  <c r="C43" i="17"/>
  <c r="B43" i="17"/>
  <c r="D42" i="17"/>
  <c r="C42" i="17"/>
  <c r="B42" i="17"/>
  <c r="D41" i="17"/>
  <c r="C41" i="17"/>
  <c r="B41" i="17"/>
  <c r="D40" i="17"/>
  <c r="C40" i="17"/>
  <c r="B40" i="17"/>
  <c r="D39" i="17"/>
  <c r="C39" i="17"/>
  <c r="B39" i="17"/>
  <c r="D38" i="17"/>
  <c r="C38" i="17"/>
  <c r="B38" i="17"/>
  <c r="D37" i="17"/>
  <c r="C37" i="17"/>
  <c r="B37" i="17"/>
  <c r="D36" i="17"/>
  <c r="C36" i="17"/>
  <c r="B36" i="17"/>
  <c r="D35" i="17"/>
  <c r="C35" i="17"/>
  <c r="B35" i="17"/>
  <c r="D34" i="17"/>
  <c r="C34" i="17"/>
  <c r="B34" i="17"/>
  <c r="D33" i="17"/>
  <c r="C33" i="17"/>
  <c r="B33" i="17"/>
  <c r="D32" i="17"/>
  <c r="C32" i="17"/>
  <c r="B32" i="17"/>
  <c r="D31" i="17"/>
  <c r="C31" i="17"/>
  <c r="B31" i="17"/>
  <c r="D30" i="17"/>
  <c r="C30" i="17"/>
  <c r="B30" i="17"/>
  <c r="D29" i="17"/>
  <c r="C29" i="17"/>
  <c r="B29" i="17"/>
  <c r="D28" i="17"/>
  <c r="C28" i="17"/>
  <c r="B28" i="17"/>
  <c r="D27" i="17"/>
  <c r="C27" i="17"/>
  <c r="B27" i="17"/>
  <c r="D26" i="17"/>
  <c r="C26" i="17"/>
  <c r="B26" i="17"/>
  <c r="D25" i="17"/>
  <c r="C25" i="17"/>
  <c r="B25" i="17"/>
  <c r="D24" i="17"/>
  <c r="C24" i="17"/>
  <c r="B24" i="17"/>
  <c r="D23" i="17"/>
  <c r="C23" i="17"/>
  <c r="B23" i="17"/>
  <c r="D22" i="17"/>
  <c r="C22" i="17"/>
  <c r="B22" i="17"/>
  <c r="D21" i="17"/>
  <c r="C21" i="17"/>
  <c r="B21" i="17"/>
  <c r="D20" i="17"/>
  <c r="C20" i="17"/>
  <c r="B20" i="17"/>
  <c r="D19" i="17"/>
  <c r="C19" i="17"/>
  <c r="B19" i="17"/>
  <c r="D18" i="17"/>
  <c r="C18" i="17"/>
  <c r="B18" i="17"/>
  <c r="D17" i="17"/>
  <c r="C17" i="17"/>
  <c r="B17" i="17"/>
  <c r="D16" i="17"/>
  <c r="C16" i="17"/>
  <c r="B16" i="17"/>
  <c r="D15" i="17"/>
  <c r="C15" i="17"/>
  <c r="B15" i="17"/>
  <c r="D14" i="17"/>
  <c r="C14" i="17"/>
  <c r="B14" i="17"/>
  <c r="D13" i="17"/>
  <c r="C13" i="17"/>
  <c r="B13" i="17"/>
  <c r="D12" i="17"/>
  <c r="C12" i="17"/>
  <c r="B12" i="17"/>
  <c r="D11" i="17"/>
  <c r="C11" i="17"/>
  <c r="B11" i="17"/>
  <c r="D10" i="17"/>
  <c r="C10" i="17"/>
  <c r="B10" i="17"/>
  <c r="D9" i="17"/>
  <c r="C9" i="17"/>
  <c r="B9" i="17"/>
  <c r="D8" i="17"/>
  <c r="C8" i="17"/>
  <c r="B8" i="17"/>
  <c r="D7" i="17"/>
  <c r="C7" i="17"/>
  <c r="B7" i="17"/>
  <c r="D6" i="17"/>
  <c r="C6" i="17"/>
  <c r="B6" i="17"/>
  <c r="D5" i="17"/>
  <c r="C5" i="17"/>
  <c r="B5" i="17"/>
  <c r="D4" i="17"/>
  <c r="C4" i="17"/>
  <c r="B4" i="17"/>
  <c r="D3" i="17"/>
  <c r="C3" i="17"/>
  <c r="B3" i="17"/>
  <c r="D2" i="17"/>
  <c r="C2" i="17"/>
  <c r="B2" i="17"/>
  <c r="D61" i="16"/>
  <c r="C61" i="16"/>
  <c r="B61" i="16"/>
  <c r="D60" i="16"/>
  <c r="C60" i="16"/>
  <c r="B60" i="16"/>
  <c r="D59" i="16"/>
  <c r="C59" i="16"/>
  <c r="B59" i="16"/>
  <c r="D58" i="16"/>
  <c r="C58" i="16"/>
  <c r="B58" i="16"/>
  <c r="D57" i="16"/>
  <c r="C57" i="16"/>
  <c r="B57" i="16"/>
  <c r="D56" i="16"/>
  <c r="C56" i="16"/>
  <c r="B56" i="16"/>
  <c r="D55" i="16"/>
  <c r="C55" i="16"/>
  <c r="B55" i="16"/>
  <c r="D54" i="16"/>
  <c r="C54" i="16"/>
  <c r="B54" i="16"/>
  <c r="D53" i="16"/>
  <c r="C53" i="16"/>
  <c r="B53" i="16"/>
  <c r="D52" i="16"/>
  <c r="C52" i="16"/>
  <c r="B52" i="16"/>
  <c r="D51" i="16"/>
  <c r="C51" i="16"/>
  <c r="B51" i="16"/>
  <c r="D50" i="16"/>
  <c r="C50" i="16"/>
  <c r="B50" i="16"/>
  <c r="D49" i="16"/>
  <c r="C49" i="16"/>
  <c r="B49" i="16"/>
  <c r="D48" i="16"/>
  <c r="C48" i="16"/>
  <c r="B48" i="16"/>
  <c r="D47" i="16"/>
  <c r="C47" i="16"/>
  <c r="B47" i="16"/>
  <c r="D46" i="16"/>
  <c r="C46" i="16"/>
  <c r="B46" i="16"/>
  <c r="D45" i="16"/>
  <c r="C45" i="16"/>
  <c r="B45" i="16"/>
  <c r="D44" i="16"/>
  <c r="C44" i="16"/>
  <c r="B44" i="16"/>
  <c r="D43" i="16"/>
  <c r="C43" i="16"/>
  <c r="B43" i="16"/>
  <c r="D42" i="16"/>
  <c r="C42" i="16"/>
  <c r="B42" i="16"/>
  <c r="D41" i="16"/>
  <c r="C41" i="16"/>
  <c r="B41" i="16"/>
  <c r="D40" i="16"/>
  <c r="C40" i="16"/>
  <c r="B40" i="16"/>
  <c r="D39" i="16"/>
  <c r="C39" i="16"/>
  <c r="B39" i="16"/>
  <c r="D38" i="16"/>
  <c r="C38" i="16"/>
  <c r="B38" i="16"/>
  <c r="D37" i="16"/>
  <c r="C37" i="16"/>
  <c r="B37" i="16"/>
  <c r="D36" i="16"/>
  <c r="C36" i="16"/>
  <c r="B36" i="16"/>
  <c r="D35" i="16"/>
  <c r="C35" i="16"/>
  <c r="B35" i="16"/>
  <c r="D34" i="16"/>
  <c r="C34" i="16"/>
  <c r="B34" i="16"/>
  <c r="D33" i="16"/>
  <c r="C33" i="16"/>
  <c r="B33" i="16"/>
  <c r="D32" i="16"/>
  <c r="C32" i="16"/>
  <c r="B32" i="16"/>
  <c r="D31" i="16"/>
  <c r="C31" i="16"/>
  <c r="B31" i="16"/>
  <c r="D30" i="16"/>
  <c r="C30" i="16"/>
  <c r="B30" i="16"/>
  <c r="D29" i="16"/>
  <c r="C29" i="16"/>
  <c r="B29" i="16"/>
  <c r="D28" i="16"/>
  <c r="C28" i="16"/>
  <c r="B28" i="16"/>
  <c r="D27" i="16"/>
  <c r="C27" i="16"/>
  <c r="B27" i="16"/>
  <c r="D26" i="16"/>
  <c r="C26" i="16"/>
  <c r="B26" i="16"/>
  <c r="D25" i="16"/>
  <c r="C25" i="16"/>
  <c r="B25" i="16"/>
  <c r="D24" i="16"/>
  <c r="C24" i="16"/>
  <c r="B24" i="16"/>
  <c r="D23" i="16"/>
  <c r="C23" i="16"/>
  <c r="B23" i="16"/>
  <c r="D22" i="16"/>
  <c r="C22" i="16"/>
  <c r="B22" i="16"/>
  <c r="D21" i="16"/>
  <c r="C21" i="16"/>
  <c r="B21" i="16"/>
  <c r="D20" i="16"/>
  <c r="C20" i="16"/>
  <c r="B20" i="16"/>
  <c r="D19" i="16"/>
  <c r="C19" i="16"/>
  <c r="B19" i="16"/>
  <c r="D18" i="16"/>
  <c r="C18" i="16"/>
  <c r="B18" i="16"/>
  <c r="D17" i="16"/>
  <c r="C17" i="16"/>
  <c r="B17" i="16"/>
  <c r="D16" i="16"/>
  <c r="C16" i="16"/>
  <c r="B16" i="16"/>
  <c r="D15" i="16"/>
  <c r="C15" i="16"/>
  <c r="B15" i="16"/>
  <c r="D14" i="16"/>
  <c r="C14" i="16"/>
  <c r="B14" i="16"/>
  <c r="D13" i="16"/>
  <c r="C13" i="16"/>
  <c r="B13" i="16"/>
  <c r="D12" i="16"/>
  <c r="C12" i="16"/>
  <c r="B12" i="16"/>
  <c r="D11" i="16"/>
  <c r="C11" i="16"/>
  <c r="B11" i="16"/>
  <c r="D10" i="16"/>
  <c r="C10" i="16"/>
  <c r="B10" i="16"/>
  <c r="D9" i="16"/>
  <c r="C9" i="16"/>
  <c r="B9" i="16"/>
  <c r="D8" i="16"/>
  <c r="C8" i="16"/>
  <c r="B8" i="16"/>
  <c r="D7" i="16"/>
  <c r="C7" i="16"/>
  <c r="B7" i="16"/>
  <c r="D6" i="16"/>
  <c r="C6" i="16"/>
  <c r="B6" i="16"/>
  <c r="D5" i="16"/>
  <c r="C5" i="16"/>
  <c r="B5" i="16"/>
  <c r="D4" i="16"/>
  <c r="C4" i="16"/>
  <c r="B4" i="16"/>
  <c r="D3" i="16"/>
  <c r="C3" i="16"/>
  <c r="B3" i="16"/>
  <c r="D2" i="16"/>
  <c r="C2" i="16"/>
  <c r="B2" i="16"/>
  <c r="D61" i="15"/>
  <c r="C61" i="15"/>
  <c r="B61" i="15"/>
  <c r="D60" i="15"/>
  <c r="C60" i="15"/>
  <c r="B60" i="15"/>
  <c r="D59" i="15"/>
  <c r="C59" i="15"/>
  <c r="B59" i="15"/>
  <c r="D58" i="15"/>
  <c r="C58" i="15"/>
  <c r="B58" i="15"/>
  <c r="D57" i="15"/>
  <c r="C57" i="15"/>
  <c r="B57" i="15"/>
  <c r="D56" i="15"/>
  <c r="C56" i="15"/>
  <c r="B56" i="15"/>
  <c r="D55" i="15"/>
  <c r="C55" i="15"/>
  <c r="B55" i="15"/>
  <c r="D54" i="15"/>
  <c r="C54" i="15"/>
  <c r="B54" i="15"/>
  <c r="D53" i="15"/>
  <c r="C53" i="15"/>
  <c r="B53" i="15"/>
  <c r="D52" i="15"/>
  <c r="C52" i="15"/>
  <c r="B52" i="15"/>
  <c r="D51" i="15"/>
  <c r="C51" i="15"/>
  <c r="B51" i="15"/>
  <c r="D50" i="15"/>
  <c r="C50" i="15"/>
  <c r="B50" i="15"/>
  <c r="D49" i="15"/>
  <c r="C49" i="15"/>
  <c r="B49" i="15"/>
  <c r="D48" i="15"/>
  <c r="C48" i="15"/>
  <c r="B48" i="15"/>
  <c r="D47" i="15"/>
  <c r="C47" i="15"/>
  <c r="B47" i="15"/>
  <c r="D46" i="15"/>
  <c r="C46" i="15"/>
  <c r="B46" i="15"/>
  <c r="D45" i="15"/>
  <c r="C45" i="15"/>
  <c r="B45" i="15"/>
  <c r="D44" i="15"/>
  <c r="C44" i="15"/>
  <c r="B44" i="15"/>
  <c r="D43" i="15"/>
  <c r="C43" i="15"/>
  <c r="B43" i="15"/>
  <c r="D42" i="15"/>
  <c r="C42" i="15"/>
  <c r="B42" i="15"/>
  <c r="D41" i="15"/>
  <c r="C41" i="15"/>
  <c r="B41" i="15"/>
  <c r="D40" i="15"/>
  <c r="C40" i="15"/>
  <c r="B40" i="15"/>
  <c r="D39" i="15"/>
  <c r="C39" i="15"/>
  <c r="B39" i="15"/>
  <c r="D38" i="15"/>
  <c r="C38" i="15"/>
  <c r="B38" i="15"/>
  <c r="D37" i="15"/>
  <c r="C37" i="15"/>
  <c r="B37" i="15"/>
  <c r="D36" i="15"/>
  <c r="C36" i="15"/>
  <c r="B36" i="15"/>
  <c r="D35" i="15"/>
  <c r="C35" i="15"/>
  <c r="B35" i="15"/>
  <c r="D34" i="15"/>
  <c r="C34" i="15"/>
  <c r="B34" i="15"/>
  <c r="D33" i="15"/>
  <c r="C33" i="15"/>
  <c r="B33" i="15"/>
  <c r="D32" i="15"/>
  <c r="C32" i="15"/>
  <c r="B32" i="15"/>
  <c r="D31" i="15"/>
  <c r="C31" i="15"/>
  <c r="B31" i="15"/>
  <c r="D30" i="15"/>
  <c r="C30" i="15"/>
  <c r="B30" i="15"/>
  <c r="D29" i="15"/>
  <c r="C29" i="15"/>
  <c r="B29" i="15"/>
  <c r="D28" i="15"/>
  <c r="C28" i="15"/>
  <c r="B28" i="15"/>
  <c r="D27" i="15"/>
  <c r="C27" i="15"/>
  <c r="B27" i="15"/>
  <c r="D26" i="15"/>
  <c r="C26" i="15"/>
  <c r="B26" i="15"/>
  <c r="D25" i="15"/>
  <c r="C25" i="15"/>
  <c r="B25" i="15"/>
  <c r="D24" i="15"/>
  <c r="C24" i="15"/>
  <c r="B24" i="15"/>
  <c r="D23" i="15"/>
  <c r="C23" i="15"/>
  <c r="B23" i="15"/>
  <c r="D22" i="15"/>
  <c r="C22" i="15"/>
  <c r="B22" i="15"/>
  <c r="D21" i="15"/>
  <c r="C21" i="15"/>
  <c r="B21" i="15"/>
  <c r="D20" i="15"/>
  <c r="C20" i="15"/>
  <c r="B20" i="15"/>
  <c r="D19" i="15"/>
  <c r="C19" i="15"/>
  <c r="B19" i="15"/>
  <c r="D18" i="15"/>
  <c r="C18" i="15"/>
  <c r="B18" i="15"/>
  <c r="D17" i="15"/>
  <c r="C17" i="15"/>
  <c r="B17" i="15"/>
  <c r="D16" i="15"/>
  <c r="C16" i="15"/>
  <c r="B16" i="15"/>
  <c r="D15" i="15"/>
  <c r="C15" i="15"/>
  <c r="B15" i="15"/>
  <c r="D14" i="15"/>
  <c r="C14" i="15"/>
  <c r="B14" i="15"/>
  <c r="D13" i="15"/>
  <c r="C13" i="15"/>
  <c r="B13" i="15"/>
  <c r="D12" i="15"/>
  <c r="C12" i="15"/>
  <c r="B12" i="15"/>
  <c r="D11" i="15"/>
  <c r="C11" i="15"/>
  <c r="B11" i="15"/>
  <c r="D10" i="15"/>
  <c r="C10" i="15"/>
  <c r="B10" i="15"/>
  <c r="D9" i="15"/>
  <c r="C9" i="15"/>
  <c r="B9" i="15"/>
  <c r="D8" i="15"/>
  <c r="C8" i="15"/>
  <c r="B8" i="15"/>
  <c r="D7" i="15"/>
  <c r="C7" i="15"/>
  <c r="B7" i="15"/>
  <c r="D6" i="15"/>
  <c r="C6" i="15"/>
  <c r="B6" i="15"/>
  <c r="D5" i="15"/>
  <c r="C5" i="15"/>
  <c r="B5" i="15"/>
  <c r="D4" i="15"/>
  <c r="C4" i="15"/>
  <c r="B4" i="15"/>
  <c r="D3" i="15"/>
  <c r="C3" i="15"/>
  <c r="B3" i="15"/>
  <c r="D2" i="15"/>
  <c r="C2" i="15"/>
  <c r="B2" i="15"/>
  <c r="D61" i="14"/>
  <c r="C61" i="14"/>
  <c r="B61" i="14"/>
  <c r="D60" i="14"/>
  <c r="C60" i="14"/>
  <c r="B60" i="14"/>
  <c r="D59" i="14"/>
  <c r="C59" i="14"/>
  <c r="B59" i="14"/>
  <c r="D58" i="14"/>
  <c r="C58" i="14"/>
  <c r="B58" i="14"/>
  <c r="D57" i="14"/>
  <c r="C57" i="14"/>
  <c r="B57" i="14"/>
  <c r="D56" i="14"/>
  <c r="C56" i="14"/>
  <c r="B56" i="14"/>
  <c r="D55" i="14"/>
  <c r="C55" i="14"/>
  <c r="B55" i="14"/>
  <c r="D54" i="14"/>
  <c r="C54" i="14"/>
  <c r="B54" i="14"/>
  <c r="D53" i="14"/>
  <c r="C53" i="14"/>
  <c r="B53" i="14"/>
  <c r="D52" i="14"/>
  <c r="C52" i="14"/>
  <c r="B52" i="14"/>
  <c r="D51" i="14"/>
  <c r="C51" i="14"/>
  <c r="B51" i="14"/>
  <c r="D50" i="14"/>
  <c r="C50" i="14"/>
  <c r="B50" i="14"/>
  <c r="D49" i="14"/>
  <c r="C49" i="14"/>
  <c r="B49" i="14"/>
  <c r="D48" i="14"/>
  <c r="C48" i="14"/>
  <c r="B48" i="14"/>
  <c r="D47" i="14"/>
  <c r="C47" i="14"/>
  <c r="B47" i="14"/>
  <c r="D46" i="14"/>
  <c r="C46" i="14"/>
  <c r="B46" i="14"/>
  <c r="D45" i="14"/>
  <c r="C45" i="14"/>
  <c r="B45" i="14"/>
  <c r="D44" i="14"/>
  <c r="C44" i="14"/>
  <c r="B44" i="14"/>
  <c r="D43" i="14"/>
  <c r="C43" i="14"/>
  <c r="B43" i="14"/>
  <c r="D42" i="14"/>
  <c r="C42" i="14"/>
  <c r="B42" i="14"/>
  <c r="D41" i="14"/>
  <c r="C41" i="14"/>
  <c r="B41" i="14"/>
  <c r="D40" i="14"/>
  <c r="C40" i="14"/>
  <c r="B40" i="14"/>
  <c r="D39" i="14"/>
  <c r="C39" i="14"/>
  <c r="B39" i="14"/>
  <c r="D38" i="14"/>
  <c r="C38" i="14"/>
  <c r="B38" i="14"/>
  <c r="D37" i="14"/>
  <c r="C37" i="14"/>
  <c r="B37" i="14"/>
  <c r="D36" i="14"/>
  <c r="C36" i="14"/>
  <c r="B36" i="14"/>
  <c r="D35" i="14"/>
  <c r="C35" i="14"/>
  <c r="B35" i="14"/>
  <c r="D34" i="14"/>
  <c r="C34" i="14"/>
  <c r="B34" i="14"/>
  <c r="D33" i="14"/>
  <c r="C33" i="14"/>
  <c r="B33" i="14"/>
  <c r="D32" i="14"/>
  <c r="C32" i="14"/>
  <c r="B32" i="14"/>
  <c r="D31" i="14"/>
  <c r="C31" i="14"/>
  <c r="B31" i="14"/>
  <c r="D30" i="14"/>
  <c r="C30" i="14"/>
  <c r="B30" i="14"/>
  <c r="D29" i="14"/>
  <c r="C29" i="14"/>
  <c r="B29" i="14"/>
  <c r="D28" i="14"/>
  <c r="C28" i="14"/>
  <c r="B28" i="14"/>
  <c r="D27" i="14"/>
  <c r="C27" i="14"/>
  <c r="B27" i="14"/>
  <c r="D26" i="14"/>
  <c r="C26" i="14"/>
  <c r="B26" i="14"/>
  <c r="D25" i="14"/>
  <c r="C25" i="14"/>
  <c r="B25" i="14"/>
  <c r="D24" i="14"/>
  <c r="C24" i="14"/>
  <c r="B24" i="14"/>
  <c r="D23" i="14"/>
  <c r="C23" i="14"/>
  <c r="B23" i="14"/>
  <c r="D22" i="14"/>
  <c r="C22" i="14"/>
  <c r="B22" i="14"/>
  <c r="D21" i="14"/>
  <c r="C21" i="14"/>
  <c r="B21" i="14"/>
  <c r="D20" i="14"/>
  <c r="C20" i="14"/>
  <c r="B20" i="14"/>
  <c r="D19" i="14"/>
  <c r="C19" i="14"/>
  <c r="B19" i="14"/>
  <c r="D18" i="14"/>
  <c r="C18" i="14"/>
  <c r="B18" i="14"/>
  <c r="D17" i="14"/>
  <c r="C17" i="14"/>
  <c r="B17" i="14"/>
  <c r="D16" i="14"/>
  <c r="C16" i="14"/>
  <c r="B16" i="14"/>
  <c r="D15" i="14"/>
  <c r="C15" i="14"/>
  <c r="B15" i="14"/>
  <c r="D14" i="14"/>
  <c r="C14" i="14"/>
  <c r="B14" i="14"/>
  <c r="D13" i="14"/>
  <c r="C13" i="14"/>
  <c r="B13" i="14"/>
  <c r="D12" i="14"/>
  <c r="C12" i="14"/>
  <c r="B12" i="14"/>
  <c r="D11" i="14"/>
  <c r="C11" i="14"/>
  <c r="B11" i="14"/>
  <c r="D10" i="14"/>
  <c r="C10" i="14"/>
  <c r="B10" i="14"/>
  <c r="D9" i="14"/>
  <c r="C9" i="14"/>
  <c r="B9" i="14"/>
  <c r="D8" i="14"/>
  <c r="C8" i="14"/>
  <c r="B8" i="14"/>
  <c r="D7" i="14"/>
  <c r="C7" i="14"/>
  <c r="B7" i="14"/>
  <c r="D6" i="14"/>
  <c r="C6" i="14"/>
  <c r="B6" i="14"/>
  <c r="D5" i="14"/>
  <c r="C5" i="14"/>
  <c r="B5" i="14"/>
  <c r="D4" i="14"/>
  <c r="C4" i="14"/>
  <c r="B4" i="14"/>
  <c r="D3" i="14"/>
  <c r="C3" i="14"/>
  <c r="B3" i="14"/>
  <c r="D2" i="14"/>
  <c r="C2" i="14"/>
  <c r="B2" i="14"/>
  <c r="D61" i="6"/>
  <c r="C61" i="6"/>
  <c r="B61" i="6"/>
  <c r="D60" i="6"/>
  <c r="C60" i="6"/>
  <c r="B60" i="6"/>
  <c r="D59" i="6"/>
  <c r="C59" i="6"/>
  <c r="B59" i="6"/>
  <c r="D58" i="6"/>
  <c r="C58" i="6"/>
  <c r="B58" i="6"/>
  <c r="D57" i="6"/>
  <c r="C57" i="6"/>
  <c r="B57" i="6"/>
  <c r="D56" i="6"/>
  <c r="C56" i="6"/>
  <c r="B56" i="6"/>
  <c r="D55" i="6"/>
  <c r="C55" i="6"/>
  <c r="B55" i="6"/>
  <c r="D54" i="6"/>
  <c r="C54" i="6"/>
  <c r="B54" i="6"/>
  <c r="D53" i="6"/>
  <c r="C53" i="6"/>
  <c r="B53" i="6"/>
  <c r="D52" i="6"/>
  <c r="C52" i="6"/>
  <c r="B52" i="6"/>
  <c r="D51" i="6"/>
  <c r="C51" i="6"/>
  <c r="B51" i="6"/>
  <c r="D50" i="6"/>
  <c r="C50" i="6"/>
  <c r="B50" i="6"/>
  <c r="D49" i="6"/>
  <c r="C49" i="6"/>
  <c r="B49" i="6"/>
  <c r="D48" i="6"/>
  <c r="C48" i="6"/>
  <c r="B48" i="6"/>
  <c r="D47" i="6"/>
  <c r="C47" i="6"/>
  <c r="B47" i="6"/>
  <c r="D46" i="6"/>
  <c r="C46" i="6"/>
  <c r="B46" i="6"/>
  <c r="D45" i="6"/>
  <c r="C45" i="6"/>
  <c r="B45" i="6"/>
  <c r="D44" i="6"/>
  <c r="C44" i="6"/>
  <c r="B44" i="6"/>
  <c r="D43" i="6"/>
  <c r="C43" i="6"/>
  <c r="B43" i="6"/>
  <c r="D42" i="6"/>
  <c r="C42" i="6"/>
  <c r="B42" i="6"/>
  <c r="D41" i="6"/>
  <c r="C41" i="6"/>
  <c r="B41" i="6"/>
  <c r="D40" i="6"/>
  <c r="C40" i="6"/>
  <c r="B40" i="6"/>
  <c r="D39" i="6"/>
  <c r="C39" i="6"/>
  <c r="B39" i="6"/>
  <c r="D38" i="6"/>
  <c r="C38" i="6"/>
  <c r="B38" i="6"/>
  <c r="D37" i="6"/>
  <c r="C37" i="6"/>
  <c r="B37" i="6"/>
  <c r="D36" i="6"/>
  <c r="C36" i="6"/>
  <c r="B36" i="6"/>
  <c r="D35" i="6"/>
  <c r="C35" i="6"/>
  <c r="B35" i="6"/>
  <c r="D34" i="6"/>
  <c r="C34" i="6"/>
  <c r="B34" i="6"/>
  <c r="D33" i="6"/>
  <c r="C33" i="6"/>
  <c r="B33" i="6"/>
  <c r="D32" i="6"/>
  <c r="C32" i="6"/>
  <c r="B32" i="6"/>
  <c r="D31" i="6"/>
  <c r="C31" i="6"/>
  <c r="B31" i="6"/>
  <c r="D30" i="6"/>
  <c r="C30" i="6"/>
  <c r="B30" i="6"/>
  <c r="D29" i="6"/>
  <c r="C29" i="6"/>
  <c r="B29" i="6"/>
  <c r="D28" i="6"/>
  <c r="C28" i="6"/>
  <c r="B28" i="6"/>
  <c r="D27" i="6"/>
  <c r="C27" i="6"/>
  <c r="B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D12" i="6"/>
  <c r="C12" i="6"/>
  <c r="B12" i="6"/>
  <c r="D11" i="6"/>
  <c r="C11" i="6"/>
  <c r="B11" i="6"/>
  <c r="D10" i="6"/>
  <c r="C10" i="6"/>
  <c r="B10" i="6"/>
  <c r="D9" i="6"/>
  <c r="C9" i="6"/>
  <c r="B9" i="6"/>
  <c r="D8" i="6"/>
  <c r="C8" i="6"/>
  <c r="B8" i="6"/>
  <c r="D7" i="6"/>
  <c r="C7" i="6"/>
  <c r="B7" i="6"/>
  <c r="D6" i="6"/>
  <c r="C6" i="6"/>
  <c r="B6" i="6"/>
  <c r="D5" i="6"/>
  <c r="C5" i="6"/>
  <c r="B5" i="6"/>
  <c r="D4" i="6"/>
  <c r="C4" i="6"/>
  <c r="B4" i="6"/>
  <c r="D3" i="6"/>
  <c r="C3" i="6"/>
  <c r="B3" i="6"/>
  <c r="D2" i="6"/>
  <c r="C2" i="6"/>
  <c r="B2" i="6"/>
  <c r="C63" i="12"/>
  <c r="D63" i="12"/>
  <c r="B63" i="12"/>
  <c r="C62" i="12"/>
  <c r="D62" i="12"/>
  <c r="B6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2" i="12"/>
  <c r="B6" i="20"/>
  <c r="D22" i="18"/>
  <c r="C21" i="19"/>
  <c r="B9" i="19"/>
  <c r="B12" i="19" s="1"/>
  <c r="E22" i="18"/>
  <c r="B13" i="18"/>
  <c r="C22" i="18" s="1"/>
  <c r="B12" i="18"/>
  <c r="B22" i="18" s="1"/>
  <c r="B21" i="20" a="1"/>
  <c r="I5" i="14" l="1"/>
  <c r="H5" i="14"/>
  <c r="H4" i="14"/>
  <c r="J3" i="14"/>
  <c r="I4" i="14"/>
  <c r="I3" i="14"/>
  <c r="J5" i="14"/>
  <c r="B21" i="20"/>
  <c r="B10" i="19"/>
  <c r="B13" i="19" s="1"/>
  <c r="B14" i="19" s="1"/>
  <c r="B15" i="19" s="1"/>
  <c r="B21" i="19" s="1"/>
  <c r="B19" i="18"/>
  <c r="F22" i="18" s="1"/>
  <c r="F6" i="20" l="1"/>
  <c r="H7" i="20"/>
  <c r="H16" i="16"/>
  <c r="H3" i="16" a="1"/>
  <c r="H3" i="16" s="1"/>
  <c r="D63" i="6"/>
  <c r="C63" i="6"/>
  <c r="B63" i="6"/>
  <c r="D62" i="6"/>
  <c r="C62" i="6"/>
  <c r="B62" i="6"/>
  <c r="S16" i="17"/>
  <c r="K16" i="17"/>
  <c r="H16" i="17"/>
  <c r="D63" i="17"/>
  <c r="C63" i="17"/>
  <c r="B63" i="17"/>
  <c r="D62" i="17"/>
  <c r="C62" i="17"/>
  <c r="B62" i="17"/>
  <c r="H17" i="17" s="1" a="1"/>
  <c r="H17" i="17" s="1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R16" i="17"/>
  <c r="E16" i="17"/>
  <c r="Q15" i="17"/>
  <c r="P15" i="17"/>
  <c r="O15" i="17"/>
  <c r="N15" i="17"/>
  <c r="M15" i="17"/>
  <c r="L15" i="17"/>
  <c r="K15" i="17"/>
  <c r="J15" i="17"/>
  <c r="I15" i="17"/>
  <c r="E15" i="17"/>
  <c r="Q14" i="17"/>
  <c r="P14" i="17"/>
  <c r="O14" i="17"/>
  <c r="N14" i="17"/>
  <c r="M14" i="17"/>
  <c r="L14" i="17"/>
  <c r="K14" i="17"/>
  <c r="J14" i="17"/>
  <c r="J16" i="17" s="1"/>
  <c r="I14" i="17"/>
  <c r="I17" i="17" s="1" a="1"/>
  <c r="I17" i="17" s="1"/>
  <c r="E14" i="17"/>
  <c r="Q13" i="17"/>
  <c r="P13" i="17"/>
  <c r="O13" i="17"/>
  <c r="N13" i="17"/>
  <c r="M13" i="17"/>
  <c r="L13" i="17"/>
  <c r="K13" i="17"/>
  <c r="J13" i="17"/>
  <c r="I13" i="17"/>
  <c r="E13" i="17"/>
  <c r="Q12" i="17"/>
  <c r="P12" i="17"/>
  <c r="O12" i="17"/>
  <c r="N12" i="17"/>
  <c r="N16" i="17" s="1"/>
  <c r="M12" i="17"/>
  <c r="M16" i="17" s="1"/>
  <c r="L12" i="17"/>
  <c r="L16" i="17" s="1"/>
  <c r="K12" i="17"/>
  <c r="J12" i="17"/>
  <c r="I12" i="17"/>
  <c r="I16" i="17" s="1"/>
  <c r="E12" i="17"/>
  <c r="E11" i="17"/>
  <c r="E10" i="17"/>
  <c r="E9" i="17"/>
  <c r="E8" i="17"/>
  <c r="E7" i="17"/>
  <c r="E6" i="17"/>
  <c r="E5" i="17"/>
  <c r="E4" i="17"/>
  <c r="E3" i="17"/>
  <c r="E2" i="17"/>
  <c r="E62" i="17" s="1"/>
  <c r="S17" i="17" s="1" a="1"/>
  <c r="S17" i="17" s="1"/>
  <c r="E63" i="17"/>
  <c r="E55" i="16"/>
  <c r="E56" i="16"/>
  <c r="E57" i="16"/>
  <c r="E58" i="16"/>
  <c r="E59" i="16"/>
  <c r="E60" i="16"/>
  <c r="E61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2" i="16"/>
  <c r="E62" i="16" s="1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D63" i="16"/>
  <c r="C63" i="16"/>
  <c r="B63" i="16"/>
  <c r="D62" i="16"/>
  <c r="H17" i="16" s="1" a="1"/>
  <c r="H17" i="16" s="1"/>
  <c r="C62" i="16"/>
  <c r="B62" i="16"/>
  <c r="Q14" i="16"/>
  <c r="P14" i="16"/>
  <c r="O14" i="16"/>
  <c r="N14" i="16"/>
  <c r="M14" i="16"/>
  <c r="L14" i="16"/>
  <c r="K14" i="16"/>
  <c r="J14" i="16"/>
  <c r="I14" i="16"/>
  <c r="Q13" i="16"/>
  <c r="P13" i="16"/>
  <c r="O13" i="16"/>
  <c r="N13" i="16"/>
  <c r="M13" i="16"/>
  <c r="L13" i="16"/>
  <c r="K13" i="16"/>
  <c r="J13" i="16"/>
  <c r="I13" i="16"/>
  <c r="Q12" i="16"/>
  <c r="P12" i="16"/>
  <c r="O12" i="16"/>
  <c r="N12" i="16"/>
  <c r="M12" i="16"/>
  <c r="L12" i="16"/>
  <c r="K12" i="16"/>
  <c r="J12" i="16"/>
  <c r="I12" i="16"/>
  <c r="R15" i="15"/>
  <c r="H15" i="15"/>
  <c r="I12" i="15"/>
  <c r="I13" i="15"/>
  <c r="J13" i="15"/>
  <c r="K13" i="15"/>
  <c r="L13" i="15"/>
  <c r="M13" i="15"/>
  <c r="N13" i="15"/>
  <c r="O13" i="15"/>
  <c r="P13" i="15"/>
  <c r="Q13" i="15"/>
  <c r="I14" i="15"/>
  <c r="J14" i="15"/>
  <c r="K14" i="15"/>
  <c r="L14" i="15"/>
  <c r="M14" i="15"/>
  <c r="N14" i="15"/>
  <c r="O14" i="15"/>
  <c r="P14" i="15"/>
  <c r="Q14" i="15"/>
  <c r="J12" i="15"/>
  <c r="K12" i="15"/>
  <c r="L12" i="15"/>
  <c r="M12" i="15"/>
  <c r="N12" i="15"/>
  <c r="O12" i="15"/>
  <c r="P12" i="15"/>
  <c r="Q12" i="15"/>
  <c r="D63" i="15"/>
  <c r="C63" i="15"/>
  <c r="B63" i="15"/>
  <c r="D62" i="15"/>
  <c r="C62" i="15"/>
  <c r="B62" i="15"/>
  <c r="D63" i="14"/>
  <c r="C63" i="14"/>
  <c r="B63" i="14"/>
  <c r="D62" i="14"/>
  <c r="C62" i="14"/>
  <c r="B62" i="14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2" i="11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H3" i="10"/>
  <c r="H2" i="10"/>
  <c r="H3" i="17" l="1" a="1"/>
  <c r="H3" i="17" s="1"/>
  <c r="R16" i="15" a="1"/>
  <c r="R16" i="15" s="1"/>
  <c r="J17" i="17" a="1"/>
  <c r="J17" i="17" s="1"/>
  <c r="L17" i="17" a="1"/>
  <c r="L17" i="17" s="1"/>
  <c r="O16" i="17"/>
  <c r="M17" i="17" a="1"/>
  <c r="M17" i="17" s="1"/>
  <c r="R17" i="17" a="1"/>
  <c r="R17" i="17" s="1"/>
  <c r="Q16" i="17"/>
  <c r="H18" i="16" a="1"/>
  <c r="H18" i="16" s="1"/>
  <c r="E63" i="16"/>
  <c r="H16" i="15" a="1"/>
  <c r="H16" i="15" s="1"/>
  <c r="N17" i="15" a="1"/>
  <c r="N17" i="15" s="1"/>
  <c r="P17" i="17" a="1"/>
  <c r="P17" i="17" s="1"/>
  <c r="P16" i="17"/>
  <c r="N17" i="17" a="1"/>
  <c r="N17" i="17" s="1"/>
  <c r="K17" i="17" a="1"/>
  <c r="K17" i="17" s="1"/>
  <c r="O17" i="17" a="1"/>
  <c r="O17" i="17" s="1"/>
  <c r="Q17" i="17" a="1"/>
  <c r="Q17" i="17" s="1"/>
  <c r="M16" i="15" a="1"/>
  <c r="M16" i="15" s="1"/>
  <c r="O16" i="15" a="1"/>
  <c r="O16" i="15" s="1"/>
  <c r="K15" i="15"/>
  <c r="I16" i="15" a="1"/>
  <c r="I16" i="15" s="1"/>
  <c r="P15" i="15"/>
  <c r="L16" i="15" a="1"/>
  <c r="L16" i="15" s="1"/>
  <c r="P16" i="15" a="1"/>
  <c r="P16" i="15" s="1"/>
  <c r="I15" i="15"/>
  <c r="J16" i="15" a="1"/>
  <c r="J16" i="15" s="1"/>
  <c r="N16" i="15" a="1"/>
  <c r="N16" i="15" s="1"/>
  <c r="Q16" i="15" a="1"/>
  <c r="Q16" i="15" s="1"/>
  <c r="K16" i="15" a="1"/>
  <c r="K16" i="15" s="1"/>
  <c r="J15" i="15"/>
  <c r="Q15" i="15"/>
  <c r="O15" i="15"/>
  <c r="N15" i="15"/>
  <c r="M15" i="15"/>
  <c r="L15" i="15"/>
  <c r="O15" i="16"/>
  <c r="O16" i="16" s="1"/>
  <c r="I15" i="16"/>
  <c r="M15" i="16"/>
  <c r="K15" i="16"/>
  <c r="K16" i="16" s="1"/>
  <c r="N15" i="16"/>
  <c r="P15" i="16"/>
  <c r="P17" i="16" s="1" a="1"/>
  <c r="P17" i="16" s="1"/>
  <c r="L15" i="16"/>
  <c r="R16" i="16"/>
  <c r="R17" i="16" a="1"/>
  <c r="R17" i="16" s="1"/>
  <c r="J15" i="16"/>
  <c r="J16" i="16" s="1"/>
  <c r="Q15" i="16"/>
  <c r="Q16" i="16" s="1"/>
  <c r="I4" i="17" l="1"/>
  <c r="I6" i="17"/>
  <c r="I5" i="17"/>
  <c r="J3" i="17"/>
  <c r="J5" i="17"/>
  <c r="J6" i="17"/>
  <c r="H4" i="17"/>
  <c r="R18" i="17" s="1" a="1"/>
  <c r="R18" i="17" s="1"/>
  <c r="R19" i="17" s="1"/>
  <c r="I3" i="17"/>
  <c r="K18" i="17" s="1" a="1"/>
  <c r="K18" i="17" s="1"/>
  <c r="K19" i="17" s="1"/>
  <c r="H5" i="17"/>
  <c r="J4" i="17"/>
  <c r="K3" i="17"/>
  <c r="K4" i="17"/>
  <c r="K5" i="17"/>
  <c r="K6" i="17"/>
  <c r="H6" i="17"/>
  <c r="N18" i="16" a="1"/>
  <c r="N18" i="16" s="1"/>
  <c r="L18" i="16" a="1"/>
  <c r="L18" i="16" s="1"/>
  <c r="M18" i="16" a="1"/>
  <c r="M18" i="16" s="1"/>
  <c r="R18" i="16" a="1"/>
  <c r="R18" i="16" s="1"/>
  <c r="I18" i="16" a="1"/>
  <c r="I18" i="16" s="1"/>
  <c r="O17" i="15" a="1"/>
  <c r="O17" i="15" s="1"/>
  <c r="P17" i="15" a="1"/>
  <c r="P17" i="15" s="1"/>
  <c r="H17" i="15" a="1"/>
  <c r="H17" i="15" s="1"/>
  <c r="J17" i="15" a="1"/>
  <c r="J17" i="15" s="1"/>
  <c r="R17" i="15" a="1"/>
  <c r="R17" i="15" s="1"/>
  <c r="I17" i="15" a="1"/>
  <c r="I17" i="15" s="1"/>
  <c r="K17" i="15" a="1"/>
  <c r="K17" i="15" s="1"/>
  <c r="L17" i="15" a="1"/>
  <c r="L17" i="15" s="1"/>
  <c r="M17" i="15" a="1"/>
  <c r="M17" i="15" s="1"/>
  <c r="Q17" i="15" a="1"/>
  <c r="Q17" i="15" s="1"/>
  <c r="H18" i="17" a="1"/>
  <c r="H18" i="17" s="1"/>
  <c r="H19" i="17" s="1"/>
  <c r="Q18" i="17" a="1"/>
  <c r="Q18" i="17" s="1"/>
  <c r="Q19" i="17" s="1"/>
  <c r="M18" i="17" a="1"/>
  <c r="M18" i="17" s="1"/>
  <c r="M19" i="17" s="1"/>
  <c r="L18" i="17" a="1"/>
  <c r="L18" i="17" s="1"/>
  <c r="L19" i="17" s="1"/>
  <c r="O18" i="16" a="1"/>
  <c r="O18" i="16" s="1"/>
  <c r="P18" i="16" a="1"/>
  <c r="P18" i="16" s="1"/>
  <c r="I16" i="16"/>
  <c r="J17" i="16" a="1"/>
  <c r="J17" i="16" s="1"/>
  <c r="N17" i="16" a="1"/>
  <c r="N17" i="16" s="1"/>
  <c r="M16" i="16"/>
  <c r="L17" i="16" a="1"/>
  <c r="L17" i="16" s="1"/>
  <c r="M17" i="16" a="1"/>
  <c r="M17" i="16" s="1"/>
  <c r="Q17" i="16" a="1"/>
  <c r="Q17" i="16" s="1"/>
  <c r="Q18" i="16" a="1"/>
  <c r="Q18" i="16" s="1"/>
  <c r="L16" i="16"/>
  <c r="K17" i="16" a="1"/>
  <c r="K17" i="16" s="1"/>
  <c r="K18" i="16" a="1"/>
  <c r="K18" i="16" s="1"/>
  <c r="N16" i="16"/>
  <c r="O17" i="16" a="1"/>
  <c r="O17" i="16" s="1"/>
  <c r="J18" i="16" a="1"/>
  <c r="J18" i="16" s="1"/>
  <c r="I17" i="16" a="1"/>
  <c r="I17" i="16" s="1"/>
  <c r="P16" i="16"/>
  <c r="O18" i="17" l="1" a="1"/>
  <c r="O18" i="17" s="1"/>
  <c r="O19" i="17" s="1"/>
  <c r="J18" i="17" a="1"/>
  <c r="J18" i="17" s="1"/>
  <c r="J19" i="17" s="1"/>
  <c r="I18" i="17" a="1"/>
  <c r="I18" i="17" s="1"/>
  <c r="I19" i="17" s="1"/>
  <c r="N18" i="17" a="1"/>
  <c r="N18" i="17" s="1"/>
  <c r="N19" i="17" s="1"/>
  <c r="P18" i="17" a="1"/>
  <c r="P18" i="17" s="1"/>
  <c r="P19" i="17" s="1"/>
  <c r="S18" i="17" a="1"/>
  <c r="S18" i="17" s="1"/>
  <c r="S1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6F9150-A997-1C46-A3B2-02CD3F54BCA6}" keepAlive="1" name="Query - J&amp;J Stock Price History" description="Connection to the 'J&amp;J Stock Price History' query in the workbook." type="5" refreshedVersion="0" background="1" saveData="1">
    <dbPr connection="Provider=Microsoft.Mashup.OleDb.1;Data Source=$Workbook$;Location=&quot;J&amp;J Stock Price History&quot;;Extended Properties=&quot;&quot;" command="SELECT * FROM [J&amp;J Stock Price History]"/>
  </connection>
  <connection id="2" xr16:uid="{475BBBA1-981B-6548-8879-185A8560B68F}" keepAlive="1" name="Query - J&amp;J Stock Price History (2)" description="Connection to the 'J&amp;J Stock Price History (2)' query in the workbook." type="5" refreshedVersion="8" background="1" saveData="1">
    <dbPr connection="Provider=Microsoft.Mashup.OleDb.1;Data Source=$Workbook$;Location=&quot;J&amp;J Stock Price History (2)&quot;;Extended Properties=&quot;&quot;" command="SELECT * FROM [J&amp;J Stock Price History (2)]"/>
  </connection>
  <connection id="3" xr16:uid="{EDE2E4C1-7E27-5741-B78E-5BE4706F8A9F}" keepAlive="1" name="Query - JPMorgan Stock Price History" description="Connection to the 'JPMorgan Stock Price History' query in the workbook." type="5" refreshedVersion="0" background="1" saveData="1">
    <dbPr connection="Provider=Microsoft.Mashup.OleDb.1;Data Source=$Workbook$;Location=&quot;JPMorgan Stock Price History&quot;;Extended Properties=&quot;&quot;" command="SELECT * FROM [JPMorgan Stock Price History]"/>
  </connection>
  <connection id="4" xr16:uid="{3934FB7F-6BA8-144C-871F-027A4BBD35EA}" keepAlive="1" name="Query - JPMorgan Stock Price History (2)" description="Connection to the 'JPMorgan Stock Price History (2)' query in the workbook." type="5" refreshedVersion="8" background="1" saveData="1">
    <dbPr connection="Provider=Microsoft.Mashup.OleDb.1;Data Source=$Workbook$;Location=&quot;JPMorgan Stock Price History (2)&quot;;Extended Properties=&quot;&quot;" command="SELECT * FROM [JPMorgan Stock Price History (2)]"/>
  </connection>
  <connection id="5" xr16:uid="{D36C3E90-B0F7-F44D-92C9-2C3C8C386BAB}" keepAlive="1" name="Query - NVIDIA Stock Price History" description="Connection to the 'NVIDIA Stock Price History' query in the workbook." type="5" refreshedVersion="0" background="1" saveData="1">
    <dbPr connection="Provider=Microsoft.Mashup.OleDb.1;Data Source=$Workbook$;Location=&quot;NVIDIA Stock Price History&quot;;Extended Properties=&quot;&quot;" command="SELECT * FROM [NVIDIA Stock Price History]"/>
  </connection>
  <connection id="6" xr16:uid="{CA22FEE7-2A39-5E4E-98A9-6DCF9294021D}" keepAlive="1" name="Query - NVIDIA Stock Price History (2)" description="Connection to the 'NVIDIA Stock Price History (2)' query in the workbook." type="5" refreshedVersion="8" background="1" saveData="1">
    <dbPr connection="Provider=Microsoft.Mashup.OleDb.1;Data Source=$Workbook$;Location=&quot;NVIDIA Stock Price History (2)&quot;;Extended Properties=&quot;&quot;" command="SELECT * FROM [NVIDIA Stock Price History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<sst xmlns="http://schemas.openxmlformats.org/spreadsheetml/2006/main" count="406" uniqueCount="269">
  <si>
    <t>Date</t>
  </si>
  <si>
    <t>Price</t>
  </si>
  <si>
    <t>Open</t>
  </si>
  <si>
    <t>High</t>
  </si>
  <si>
    <t>Low</t>
  </si>
  <si>
    <t>Vol.</t>
  </si>
  <si>
    <t>Change %</t>
  </si>
  <si>
    <t>Simple Holding Period Return (HPR)</t>
  </si>
  <si>
    <t>6.16B</t>
  </si>
  <si>
    <t>6.68B</t>
  </si>
  <si>
    <t>7.65B</t>
  </si>
  <si>
    <t>6.72B</t>
  </si>
  <si>
    <t>7.05B</t>
  </si>
  <si>
    <t>10.27B</t>
  </si>
  <si>
    <t>7.82B</t>
  </si>
  <si>
    <t>6.42B</t>
  </si>
  <si>
    <t>5.00B</t>
  </si>
  <si>
    <t>4.97B</t>
  </si>
  <si>
    <t>10.81B</t>
  </si>
  <si>
    <t>11.06B</t>
  </si>
  <si>
    <t>10.68B</t>
  </si>
  <si>
    <t>10.65B</t>
  </si>
  <si>
    <t>11.65B</t>
  </si>
  <si>
    <t>11.11B</t>
  </si>
  <si>
    <t>13.83B</t>
  </si>
  <si>
    <t>10.56B</t>
  </si>
  <si>
    <t>10.57B</t>
  </si>
  <si>
    <t>12.07B</t>
  </si>
  <si>
    <t>13.13B</t>
  </si>
  <si>
    <t>12.55B</t>
  </si>
  <si>
    <t>10.60B</t>
  </si>
  <si>
    <t>8.95B</t>
  </si>
  <si>
    <t>9.45B</t>
  </si>
  <si>
    <t>10.39B</t>
  </si>
  <si>
    <t>11.27B</t>
  </si>
  <si>
    <t>7.44B</t>
  </si>
  <si>
    <t>11.70B</t>
  </si>
  <si>
    <t>10.53B</t>
  </si>
  <si>
    <t>8.71B</t>
  </si>
  <si>
    <t>13.64B</t>
  </si>
  <si>
    <t>8.58B</t>
  </si>
  <si>
    <t>10.14B</t>
  </si>
  <si>
    <t>9.15B</t>
  </si>
  <si>
    <t>7.41B</t>
  </si>
  <si>
    <t>9.71B</t>
  </si>
  <si>
    <t>11.08B</t>
  </si>
  <si>
    <t>12.15B</t>
  </si>
  <si>
    <t>10.07B</t>
  </si>
  <si>
    <t>9.65B</t>
  </si>
  <si>
    <t>6.41B</t>
  </si>
  <si>
    <t>8.11B</t>
  </si>
  <si>
    <t>6.27B</t>
  </si>
  <si>
    <t>5.63B</t>
  </si>
  <si>
    <t>4.50B</t>
  </si>
  <si>
    <t>4.09B</t>
  </si>
  <si>
    <t>5.95B</t>
  </si>
  <si>
    <t>4.76B</t>
  </si>
  <si>
    <t>6.18B</t>
  </si>
  <si>
    <t>6.81B</t>
  </si>
  <si>
    <t>3.82B</t>
  </si>
  <si>
    <t>3.60B</t>
  </si>
  <si>
    <t>3.61B</t>
  </si>
  <si>
    <t>3.89B</t>
  </si>
  <si>
    <t>4.03B</t>
  </si>
  <si>
    <t>4.16B</t>
  </si>
  <si>
    <t>3.63B</t>
  </si>
  <si>
    <t>3.29B</t>
  </si>
  <si>
    <t>3.75B</t>
  </si>
  <si>
    <t>2.75B</t>
  </si>
  <si>
    <t>318.60M</t>
  </si>
  <si>
    <t>229.27M</t>
  </si>
  <si>
    <t>399.42M</t>
  </si>
  <si>
    <t>288.70M</t>
  </si>
  <si>
    <t>248.96M</t>
  </si>
  <si>
    <t>356.72M</t>
  </si>
  <si>
    <t>280.58M</t>
  </si>
  <si>
    <t>208.09M</t>
  </si>
  <si>
    <t>234.83M</t>
  </si>
  <si>
    <t>231.68M</t>
  </si>
  <si>
    <t>203.51M</t>
  </si>
  <si>
    <t>252.03M</t>
  </si>
  <si>
    <t>374.02M</t>
  </si>
  <si>
    <t>288.73M</t>
  </si>
  <si>
    <t>390.80M</t>
  </si>
  <si>
    <t>303.66M</t>
  </si>
  <si>
    <t>313.63M</t>
  </si>
  <si>
    <t>268.24M</t>
  </si>
  <si>
    <t>239.57M</t>
  </si>
  <si>
    <t>258.44M</t>
  </si>
  <si>
    <t>248.56M</t>
  </si>
  <si>
    <t>318.23M</t>
  </si>
  <si>
    <t>226.63M</t>
  </si>
  <si>
    <t>202.05M</t>
  </si>
  <si>
    <t>209.97M</t>
  </si>
  <si>
    <t>169.57M</t>
  </si>
  <si>
    <t>458.50M</t>
  </si>
  <si>
    <t>242.87M</t>
  </si>
  <si>
    <t>235.31M</t>
  </si>
  <si>
    <t>207.75M</t>
  </si>
  <si>
    <t>231.27M</t>
  </si>
  <si>
    <t>169.32M</t>
  </si>
  <si>
    <t>172.25M</t>
  </si>
  <si>
    <t>244.07M</t>
  </si>
  <si>
    <t>162.20M</t>
  </si>
  <si>
    <t>184.77M</t>
  </si>
  <si>
    <t>231.66M</t>
  </si>
  <si>
    <t>154.74M</t>
  </si>
  <si>
    <t>166.26M</t>
  </si>
  <si>
    <t>224.78M</t>
  </si>
  <si>
    <t>195.90M</t>
  </si>
  <si>
    <t>174.90M</t>
  </si>
  <si>
    <t>197.46M</t>
  </si>
  <si>
    <t>172.44M</t>
  </si>
  <si>
    <t>206.49M</t>
  </si>
  <si>
    <t>178.34M</t>
  </si>
  <si>
    <t>188.85M</t>
  </si>
  <si>
    <t>181.27M</t>
  </si>
  <si>
    <t>209.83M</t>
  </si>
  <si>
    <t>156.63M</t>
  </si>
  <si>
    <t>265.19M</t>
  </si>
  <si>
    <t>287.38M</t>
  </si>
  <si>
    <t>165.12M</t>
  </si>
  <si>
    <t>174.37M</t>
  </si>
  <si>
    <t>198.60M</t>
  </si>
  <si>
    <t>148.83M</t>
  </si>
  <si>
    <t>182.56M</t>
  </si>
  <si>
    <t>189.43M</t>
  </si>
  <si>
    <t>150.22M</t>
  </si>
  <si>
    <t>211.62M</t>
  </si>
  <si>
    <t>243.47M</t>
  </si>
  <si>
    <t>203.07M</t>
  </si>
  <si>
    <t>244.15M</t>
  </si>
  <si>
    <t>152.18M</t>
  </si>
  <si>
    <t>184.50M</t>
  </si>
  <si>
    <t>147.69M</t>
  </si>
  <si>
    <t>175.08M</t>
  </si>
  <si>
    <t>162.67M</t>
  </si>
  <si>
    <t>133.90M</t>
  </si>
  <si>
    <t>145.67M</t>
  </si>
  <si>
    <t>133.73M</t>
  </si>
  <si>
    <t>114.79M</t>
  </si>
  <si>
    <t>132.04M</t>
  </si>
  <si>
    <t>136.33M</t>
  </si>
  <si>
    <t>164.28M</t>
  </si>
  <si>
    <t>167.98M</t>
  </si>
  <si>
    <t>165.57M</t>
  </si>
  <si>
    <t>154.62M</t>
  </si>
  <si>
    <t>180.11M</t>
  </si>
  <si>
    <t>163.46M</t>
  </si>
  <si>
    <t>152.74M</t>
  </si>
  <si>
    <t>159.33M</t>
  </si>
  <si>
    <t>114.64M</t>
  </si>
  <si>
    <t>157.26M</t>
  </si>
  <si>
    <t>168.29M</t>
  </si>
  <si>
    <t>139.41M</t>
  </si>
  <si>
    <t>138.34M</t>
  </si>
  <si>
    <t>129.81M</t>
  </si>
  <si>
    <t>160.52M</t>
  </si>
  <si>
    <t>164.79M</t>
  </si>
  <si>
    <t>185.73M</t>
  </si>
  <si>
    <t>146.07M</t>
  </si>
  <si>
    <t>132.12M</t>
  </si>
  <si>
    <t>146.82M</t>
  </si>
  <si>
    <t>201.43M</t>
  </si>
  <si>
    <t>1.08B</t>
  </si>
  <si>
    <t>147.24M</t>
  </si>
  <si>
    <t>152.90M</t>
  </si>
  <si>
    <t>131.09M</t>
  </si>
  <si>
    <t>146.55M</t>
  </si>
  <si>
    <t>138.21M</t>
  </si>
  <si>
    <t>158.29M</t>
  </si>
  <si>
    <t>140.40M</t>
  </si>
  <si>
    <t>176.04M</t>
  </si>
  <si>
    <t>174.62M</t>
  </si>
  <si>
    <t>132.52M</t>
  </si>
  <si>
    <t>151.36M</t>
  </si>
  <si>
    <t>150.66M</t>
  </si>
  <si>
    <t>120.36M</t>
  </si>
  <si>
    <t>133.03M</t>
  </si>
  <si>
    <t>153.34M</t>
  </si>
  <si>
    <t>177.84M</t>
  </si>
  <si>
    <t>192.83M</t>
  </si>
  <si>
    <t>169.98M</t>
  </si>
  <si>
    <t>186.80M</t>
  </si>
  <si>
    <t>236.80M</t>
  </si>
  <si>
    <t>174.25M</t>
  </si>
  <si>
    <t>159.01M</t>
  </si>
  <si>
    <t>187.62M</t>
  </si>
  <si>
    <t>174.94M</t>
  </si>
  <si>
    <t>180.80M</t>
  </si>
  <si>
    <t>195.08M</t>
  </si>
  <si>
    <t>174.24M</t>
  </si>
  <si>
    <t>176.37M</t>
  </si>
  <si>
    <t>191.37M</t>
  </si>
  <si>
    <t>170.40M</t>
  </si>
  <si>
    <t>142.61M</t>
  </si>
  <si>
    <t>Month</t>
  </si>
  <si>
    <t>NVDA</t>
  </si>
  <si>
    <t>JPM</t>
  </si>
  <si>
    <t>JNJ</t>
  </si>
  <si>
    <t>Expected return</t>
  </si>
  <si>
    <t>Standard Deviation</t>
  </si>
  <si>
    <t>Stock</t>
  </si>
  <si>
    <t>Minimum Variance Portfolio</t>
  </si>
  <si>
    <t>Port 2</t>
  </si>
  <si>
    <t>Port 3</t>
  </si>
  <si>
    <t>Port 4</t>
  </si>
  <si>
    <t>Port 5</t>
  </si>
  <si>
    <t>Port 6</t>
  </si>
  <si>
    <t>Port 7</t>
  </si>
  <si>
    <t>Port 8</t>
  </si>
  <si>
    <t>Port 9</t>
  </si>
  <si>
    <t>Port 10</t>
  </si>
  <si>
    <t>Max Return</t>
  </si>
  <si>
    <t>Sum weights</t>
  </si>
  <si>
    <t>Standard deviation</t>
  </si>
  <si>
    <t>Risk-free</t>
  </si>
  <si>
    <t>Market Portfolio</t>
  </si>
  <si>
    <t>Sharpe Ratio</t>
  </si>
  <si>
    <t>Chosen Stock</t>
  </si>
  <si>
    <t>Rationale</t>
  </si>
  <si>
    <t>Highest Standard deviation/risk of the three stocks</t>
  </si>
  <si>
    <t>Appropriate put option</t>
  </si>
  <si>
    <t>Source</t>
  </si>
  <si>
    <t>(Yahoo Finance)</t>
  </si>
  <si>
    <t>Put Expiration</t>
  </si>
  <si>
    <t>Put Price (Premium)</t>
  </si>
  <si>
    <t>Put Option Graph</t>
  </si>
  <si>
    <t xml:space="preserve">Protective Put Graph </t>
  </si>
  <si>
    <t>Avg Expected return</t>
  </si>
  <si>
    <t>Stock Payoff Pattern Graph</t>
  </si>
  <si>
    <t>Initial Stock price S0</t>
  </si>
  <si>
    <t>Terminal stock price St</t>
  </si>
  <si>
    <t>Profit from buying the stock</t>
  </si>
  <si>
    <t>Profit from shorting the stock</t>
  </si>
  <si>
    <t>Terminal stock price</t>
  </si>
  <si>
    <t>Put exercise price</t>
  </si>
  <si>
    <t>Put price</t>
  </si>
  <si>
    <t>Profit from buying put</t>
  </si>
  <si>
    <t>Profit from selling put</t>
  </si>
  <si>
    <t>Profit from protective put</t>
  </si>
  <si>
    <t>Current stock price S</t>
  </si>
  <si>
    <t>Exercise Price X</t>
  </si>
  <si>
    <t>Risk-free rate r</t>
  </si>
  <si>
    <t>Time to maturity T</t>
  </si>
  <si>
    <t>Stock volatility sigma</t>
  </si>
  <si>
    <t>d1</t>
  </si>
  <si>
    <t>d2</t>
  </si>
  <si>
    <t>N(d1)</t>
  </si>
  <si>
    <t>N(d2)</t>
  </si>
  <si>
    <t>Put Price</t>
  </si>
  <si>
    <t>Call Price</t>
  </si>
  <si>
    <t>Options intrinsic value</t>
  </si>
  <si>
    <t xml:space="preserve">It </t>
  </si>
  <si>
    <t>Graph put delta as function of stock price</t>
  </si>
  <si>
    <t>Graph put delta as a function of time to maturity and moneyness</t>
  </si>
  <si>
    <t>Put Delta</t>
  </si>
  <si>
    <t>Dividend yield</t>
  </si>
  <si>
    <t>Delta with stock price</t>
  </si>
  <si>
    <t>In-the-money</t>
  </si>
  <si>
    <t>At-the-money</t>
  </si>
  <si>
    <t>Out-of-Money</t>
  </si>
  <si>
    <t>Put Delta with time to expiration</t>
  </si>
  <si>
    <t>Simple holding returns (HPR) calculated (ending price-beginning price)/beginning price for each on each stock pricee history page</t>
  </si>
  <si>
    <t>as of April 29, 2026</t>
  </si>
  <si>
    <t>April to September</t>
  </si>
  <si>
    <t>How does your result compare with the current market price for this put option?</t>
  </si>
  <si>
    <t>it is lower than the put price of $23.80 (as of April 2026)</t>
  </si>
  <si>
    <t>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</si>
</sst>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6" formatCode="_(* #,##0.0000_);_(* \(#,##0.0000\);_(* &quot;-&quot;??_);_(@_)"/>
    <numFmt numFmtId="167" formatCode="0.00000"/>
    <numFmt numFmtId="168" formatCode="0.000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1" xfId="0" applyFont="1" applyBorder="1"/>
    <xf numFmtId="10" fontId="0" fillId="0" borderId="0" xfId="3" applyNumberFormat="1" applyFont="1"/>
    <xf numFmtId="44" fontId="0" fillId="0" borderId="0" xfId="2" applyFont="1"/>
    <xf numFmtId="0" fontId="3" fillId="2" borderId="1" xfId="0" applyFont="1" applyFill="1" applyBorder="1"/>
    <xf numFmtId="0" fontId="4" fillId="0" borderId="0" xfId="0" applyFont="1"/>
    <xf numFmtId="9" fontId="4" fillId="0" borderId="0" xfId="0" applyNumberFormat="1" applyFont="1"/>
    <xf numFmtId="0" fontId="4" fillId="0" borderId="1" xfId="0" applyFont="1" applyBorder="1"/>
    <xf numFmtId="164" fontId="2" fillId="0" borderId="0" xfId="0" applyNumberFormat="1" applyFont="1"/>
    <xf numFmtId="10" fontId="2" fillId="0" borderId="0" xfId="3" applyNumberFormat="1" applyFont="1"/>
    <xf numFmtId="10" fontId="2" fillId="0" borderId="0" xfId="0" applyNumberFormat="1" applyFont="1"/>
    <xf numFmtId="0" fontId="3" fillId="0" borderId="2" xfId="0" applyFont="1" applyBorder="1"/>
    <xf numFmtId="0" fontId="3" fillId="0" borderId="3" xfId="0" applyFont="1" applyBorder="1"/>
    <xf numFmtId="0" fontId="2" fillId="0" borderId="1" xfId="0" applyFont="1" applyBorder="1"/>
    <xf numFmtId="0" fontId="2" fillId="0" borderId="4" xfId="0" applyFont="1" applyBorder="1"/>
    <xf numFmtId="10" fontId="2" fillId="0" borderId="4" xfId="3" applyNumberFormat="1" applyFont="1" applyBorder="1"/>
    <xf numFmtId="10" fontId="2" fillId="0" borderId="0" xfId="3" applyNumberFormat="1" applyFont="1" applyBorder="1"/>
    <xf numFmtId="9" fontId="2" fillId="0" borderId="1" xfId="0" applyNumberFormat="1" applyFont="1" applyBorder="1"/>
    <xf numFmtId="10" fontId="2" fillId="0" borderId="1" xfId="3" applyNumberFormat="1" applyFont="1" applyBorder="1"/>
    <xf numFmtId="166" fontId="2" fillId="0" borderId="0" xfId="1" applyNumberFormat="1" applyFont="1"/>
    <xf numFmtId="0" fontId="5" fillId="0" borderId="0" xfId="4"/>
    <xf numFmtId="0" fontId="3" fillId="0" borderId="0" xfId="0" applyFont="1" applyFill="1" applyBorder="1"/>
    <xf numFmtId="0" fontId="3" fillId="0" borderId="0" xfId="0" applyFont="1"/>
    <xf numFmtId="10" fontId="2" fillId="0" borderId="0" xfId="3" applyNumberFormat="1" applyFont="1" applyFill="1" applyBorder="1"/>
    <xf numFmtId="44" fontId="2" fillId="0" borderId="0" xfId="2" applyFont="1" applyFill="1" applyBorder="1"/>
    <xf numFmtId="0" fontId="2" fillId="2" borderId="0" xfId="0" applyFont="1" applyFill="1"/>
    <xf numFmtId="10" fontId="2" fillId="2" borderId="0" xfId="0" applyNumberFormat="1" applyFont="1" applyFill="1"/>
    <xf numFmtId="168" fontId="2" fillId="2" borderId="0" xfId="0" applyNumberFormat="1" applyFont="1" applyFill="1"/>
    <xf numFmtId="168" fontId="2" fillId="0" borderId="0" xfId="0" applyNumberFormat="1" applyFont="1"/>
    <xf numFmtId="168" fontId="2" fillId="0" borderId="1" xfId="0" applyNumberFormat="1" applyFont="1" applyBorder="1"/>
    <xf numFmtId="44" fontId="2" fillId="0" borderId="0" xfId="2" applyFont="1"/>
    <xf numFmtId="0" fontId="6" fillId="0" borderId="0" xfId="4" applyFont="1"/>
    <xf numFmtId="14" fontId="2" fillId="0" borderId="0" xfId="0" applyNumberFormat="1" applyFont="1"/>
    <xf numFmtId="44" fontId="2" fillId="0" borderId="0" xfId="0" applyNumberFormat="1" applyFont="1"/>
    <xf numFmtId="0" fontId="2" fillId="3" borderId="0" xfId="0" applyFont="1" applyFill="1"/>
    <xf numFmtId="9" fontId="2" fillId="0" borderId="0" xfId="2" applyNumberFormat="1" applyFont="1"/>
    <xf numFmtId="2" fontId="2" fillId="0" borderId="0" xfId="2" applyNumberFormat="1" applyFont="1"/>
    <xf numFmtId="167" fontId="2" fillId="0" borderId="0" xfId="2" applyNumberFormat="1" applyFont="1"/>
    <xf numFmtId="44" fontId="2" fillId="0" borderId="0" xfId="2" applyFont="1" applyFill="1"/>
    <xf numFmtId="0" fontId="2" fillId="0" borderId="0" xfId="0" applyFont="1" applyAlignment="1">
      <alignment wrapText="1"/>
    </xf>
    <xf numFmtId="10" fontId="2" fillId="0" borderId="0" xfId="2" applyNumberFormat="1" applyFont="1"/>
    <xf numFmtId="43" fontId="2" fillId="0" borderId="0" xfId="0" applyNumberFormat="1" applyFont="1"/>
    <xf numFmtId="43" fontId="2" fillId="0" borderId="0" xfId="1" applyFont="1"/>
    <xf numFmtId="44" fontId="4" fillId="0" borderId="0" xfId="0" applyNumberFormat="1" applyFont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9">
    <dxf>
      <numFmt numFmtId="14" formatCode="0.00%"/>
    </dxf>
    <dxf>
      <numFmt numFmtId="0" formatCode="General"/>
    </dxf>
    <dxf>
      <numFmt numFmtId="19" formatCode="m/d/yy"/>
    </dxf>
    <dxf>
      <numFmt numFmtId="0" formatCode="General"/>
    </dxf>
    <dxf>
      <numFmt numFmtId="0" formatCode="General"/>
    </dxf>
    <dxf>
      <numFmt numFmtId="19" formatCode="m/d/yy"/>
    </dxf>
    <dxf>
      <numFmt numFmtId="14" formatCode="0.00%"/>
    </dxf>
    <dxf>
      <numFmt numFmtId="0" formatCode="General"/>
    </dxf>
    <dxf>
      <numFmt numFmtId="19" formatCode="m/d/yy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'Efficient Frontier'!$H$17:$R$17</c:f>
              <c:numCache>
                <c:formatCode>0.00%</c:formatCode>
                <c:ptCount val="11"/>
                <c:pt idx="0">
                  <c:v>4.1211899139459385E-2</c:v>
                </c:pt>
                <c:pt idx="1">
                  <c:v>4.3584826218343427E-2</c:v>
                </c:pt>
                <c:pt idx="2">
                  <c:v>4.9939545666067113E-2</c:v>
                </c:pt>
                <c:pt idx="3">
                  <c:v>5.9003254700321348E-2</c:v>
                </c:pt>
                <c:pt idx="4">
                  <c:v>6.9727430815831493E-2</c:v>
                </c:pt>
                <c:pt idx="5">
                  <c:v>8.1458884415206184E-2</c:v>
                </c:pt>
                <c:pt idx="6">
                  <c:v>9.3820519030812538E-2</c:v>
                </c:pt>
                <c:pt idx="7">
                  <c:v>0.10659331325791492</c:v>
                </c:pt>
                <c:pt idx="8">
                  <c:v>0.1196456592210377</c:v>
                </c:pt>
                <c:pt idx="9">
                  <c:v>0.13289521364075221</c:v>
                </c:pt>
                <c:pt idx="10">
                  <c:v>0.14628840195262727</c:v>
                </c:pt>
              </c:numCache>
            </c:numRef>
          </c:xVal>
          <c:yVal>
            <c:numRef>
              <c:f>'Efficient Frontier'!$H$16:$R$16</c:f>
              <c:numCache>
                <c:formatCode>0.00%</c:formatCode>
                <c:ptCount val="11"/>
                <c:pt idx="0">
                  <c:v>1.1967077665705844E-2</c:v>
                </c:pt>
                <c:pt idx="1">
                  <c:v>1.6183063982519154E-2</c:v>
                </c:pt>
                <c:pt idx="2">
                  <c:v>2.0399050299332453E-2</c:v>
                </c:pt>
                <c:pt idx="3">
                  <c:v>2.4615036616145763E-2</c:v>
                </c:pt>
                <c:pt idx="4">
                  <c:v>2.8831022932959076E-2</c:v>
                </c:pt>
                <c:pt idx="5">
                  <c:v>3.3047009249772379E-2</c:v>
                </c:pt>
                <c:pt idx="6">
                  <c:v>3.7262995566585674E-2</c:v>
                </c:pt>
                <c:pt idx="7">
                  <c:v>4.1478981883398984E-2</c:v>
                </c:pt>
                <c:pt idx="8">
                  <c:v>4.5694968200212301E-2</c:v>
                </c:pt>
                <c:pt idx="9">
                  <c:v>4.9910954517025603E-2</c:v>
                </c:pt>
                <c:pt idx="10">
                  <c:v>5.4126940833838906E-2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58-F246-8A24-2D69C73A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976720"/>
        <c:axId val="565099103"/>
      </c:scatterChart>
      <c:valAx>
        <c:axId val="180297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99103"/>
        <c:crosses val="autoZero"/>
        <c:crossBetween val="midCat"/>
      </c:valAx>
      <c:valAx>
        <c:axId val="56509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7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Capital Market Line and 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'Efficient Frontier'!$H$17:$R$17</c:f>
              <c:numCache>
                <c:formatCode>0.00%</c:formatCode>
                <c:ptCount val="11"/>
                <c:pt idx="0">
                  <c:v>4.1211899139459385E-2</c:v>
                </c:pt>
                <c:pt idx="1">
                  <c:v>4.3584826218343427E-2</c:v>
                </c:pt>
                <c:pt idx="2">
                  <c:v>4.9939545666067113E-2</c:v>
                </c:pt>
                <c:pt idx="3">
                  <c:v>5.9003254700321348E-2</c:v>
                </c:pt>
                <c:pt idx="4">
                  <c:v>6.9727430815831493E-2</c:v>
                </c:pt>
                <c:pt idx="5">
                  <c:v>8.1458884415206184E-2</c:v>
                </c:pt>
                <c:pt idx="6">
                  <c:v>9.3820519030812538E-2</c:v>
                </c:pt>
                <c:pt idx="7">
                  <c:v>0.10659331325791492</c:v>
                </c:pt>
                <c:pt idx="8">
                  <c:v>0.1196456592210377</c:v>
                </c:pt>
                <c:pt idx="9">
                  <c:v>0.13289521364075221</c:v>
                </c:pt>
                <c:pt idx="10">
                  <c:v>0.14628840195262727</c:v>
                </c:pt>
              </c:numCache>
            </c:numRef>
          </c:xVal>
          <c:yVal>
            <c:numRef>
              <c:f>'Efficient Frontier'!$H$16:$R$16</c:f>
              <c:numCache>
                <c:formatCode>0.00%</c:formatCode>
                <c:ptCount val="11"/>
                <c:pt idx="0">
                  <c:v>1.1967077665705844E-2</c:v>
                </c:pt>
                <c:pt idx="1">
                  <c:v>1.6183063982519154E-2</c:v>
                </c:pt>
                <c:pt idx="2">
                  <c:v>2.0399050299332453E-2</c:v>
                </c:pt>
                <c:pt idx="3">
                  <c:v>2.4615036616145763E-2</c:v>
                </c:pt>
                <c:pt idx="4">
                  <c:v>2.8831022932959076E-2</c:v>
                </c:pt>
                <c:pt idx="5">
                  <c:v>3.3047009249772379E-2</c:v>
                </c:pt>
                <c:pt idx="6">
                  <c:v>3.7262995566585674E-2</c:v>
                </c:pt>
                <c:pt idx="7">
                  <c:v>4.1478981883398984E-2</c:v>
                </c:pt>
                <c:pt idx="8">
                  <c:v>4.5694968200212301E-2</c:v>
                </c:pt>
                <c:pt idx="9">
                  <c:v>4.9910954517025603E-2</c:v>
                </c:pt>
                <c:pt idx="10">
                  <c:v>5.4126940833838906E-2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19-3843-912B-C9F05E4C2492}"/>
            </c:ext>
          </c:extLst>
        </c:ser>
        <c:ser>
          <c:idx val="1"/>
          <c:order val="1"/>
          <c:tx>
            <c:v>CML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'RiskFreeAsset+CML'!$H$18:$R$18</c:f>
              <c:numCache>
                <c:formatCode>0.00%</c:formatCode>
                <c:ptCount val="11"/>
                <c:pt idx="0">
                  <c:v>2.1867034402379042E-18</c:v>
                </c:pt>
                <c:pt idx="1">
                  <c:v>1.3253478305518667E-2</c:v>
                </c:pt>
                <c:pt idx="2">
                  <c:v>2.6506956611037333E-2</c:v>
                </c:pt>
                <c:pt idx="3">
                  <c:v>3.9760434916556009E-2</c:v>
                </c:pt>
                <c:pt idx="4">
                  <c:v>5.3013913222074681E-2</c:v>
                </c:pt>
                <c:pt idx="5">
                  <c:v>6.6267391527593353E-2</c:v>
                </c:pt>
                <c:pt idx="6">
                  <c:v>7.9520869833112004E-2</c:v>
                </c:pt>
                <c:pt idx="7">
                  <c:v>9.2774348138630683E-2</c:v>
                </c:pt>
                <c:pt idx="8">
                  <c:v>0.10602782644414936</c:v>
                </c:pt>
                <c:pt idx="9">
                  <c:v>0.11928130474966804</c:v>
                </c:pt>
                <c:pt idx="10">
                  <c:v>0.13253478305518671</c:v>
                </c:pt>
              </c:numCache>
            </c:numRef>
          </c:xVal>
          <c:yVal>
            <c:numRef>
              <c:f>'RiskFreeAsset+CML'!$H$17:$R$17</c:f>
              <c:numCache>
                <c:formatCode>0.00%</c:formatCode>
                <c:ptCount val="11"/>
                <c:pt idx="0">
                  <c:v>1.6666666666666646E-3</c:v>
                </c:pt>
                <c:pt idx="1">
                  <c:v>6.8350615171757813E-3</c:v>
                </c:pt>
                <c:pt idx="2">
                  <c:v>1.2003456367684897E-2</c:v>
                </c:pt>
                <c:pt idx="3">
                  <c:v>1.717185121819402E-2</c:v>
                </c:pt>
                <c:pt idx="4">
                  <c:v>2.2340246068703131E-2</c:v>
                </c:pt>
                <c:pt idx="5">
                  <c:v>2.7508640919212252E-2</c:v>
                </c:pt>
                <c:pt idx="6">
                  <c:v>3.267703576972137E-2</c:v>
                </c:pt>
                <c:pt idx="7">
                  <c:v>3.7845430620230498E-2</c:v>
                </c:pt>
                <c:pt idx="8">
                  <c:v>4.3013825470739599E-2</c:v>
                </c:pt>
                <c:pt idx="9">
                  <c:v>4.818222032124872E-2</c:v>
                </c:pt>
                <c:pt idx="10">
                  <c:v>5.3350615171757834E-2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19-3843-912B-C9F05E4C2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976720"/>
        <c:axId val="565099103"/>
      </c:scatterChart>
      <c:valAx>
        <c:axId val="180297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99103"/>
        <c:crosses val="autoZero"/>
        <c:crossBetween val="midCat"/>
      </c:valAx>
      <c:valAx>
        <c:axId val="56509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7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Capital Market Line and 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'Efficient Frontier'!$H$17:$R$17</c:f>
              <c:numCache>
                <c:formatCode>0.00%</c:formatCode>
                <c:ptCount val="11"/>
                <c:pt idx="0">
                  <c:v>4.1211899139459385E-2</c:v>
                </c:pt>
                <c:pt idx="1">
                  <c:v>4.3584826218343427E-2</c:v>
                </c:pt>
                <c:pt idx="2">
                  <c:v>4.9939545666067113E-2</c:v>
                </c:pt>
                <c:pt idx="3">
                  <c:v>5.9003254700321348E-2</c:v>
                </c:pt>
                <c:pt idx="4">
                  <c:v>6.9727430815831493E-2</c:v>
                </c:pt>
                <c:pt idx="5">
                  <c:v>8.1458884415206184E-2</c:v>
                </c:pt>
                <c:pt idx="6">
                  <c:v>9.3820519030812538E-2</c:v>
                </c:pt>
                <c:pt idx="7">
                  <c:v>0.10659331325791492</c:v>
                </c:pt>
                <c:pt idx="8">
                  <c:v>0.1196456592210377</c:v>
                </c:pt>
                <c:pt idx="9">
                  <c:v>0.13289521364075221</c:v>
                </c:pt>
                <c:pt idx="10">
                  <c:v>0.14628840195262727</c:v>
                </c:pt>
              </c:numCache>
            </c:numRef>
          </c:xVal>
          <c:yVal>
            <c:numRef>
              <c:f>'Efficient Frontier'!$H$16:$R$16</c:f>
              <c:numCache>
                <c:formatCode>0.00%</c:formatCode>
                <c:ptCount val="11"/>
                <c:pt idx="0">
                  <c:v>1.1967077665705844E-2</c:v>
                </c:pt>
                <c:pt idx="1">
                  <c:v>1.6183063982519154E-2</c:v>
                </c:pt>
                <c:pt idx="2">
                  <c:v>2.0399050299332453E-2</c:v>
                </c:pt>
                <c:pt idx="3">
                  <c:v>2.4615036616145763E-2</c:v>
                </c:pt>
                <c:pt idx="4">
                  <c:v>2.8831022932959076E-2</c:v>
                </c:pt>
                <c:pt idx="5">
                  <c:v>3.3047009249772379E-2</c:v>
                </c:pt>
                <c:pt idx="6">
                  <c:v>3.7262995566585674E-2</c:v>
                </c:pt>
                <c:pt idx="7">
                  <c:v>4.1478981883398984E-2</c:v>
                </c:pt>
                <c:pt idx="8">
                  <c:v>4.5694968200212301E-2</c:v>
                </c:pt>
                <c:pt idx="9">
                  <c:v>4.9910954517025603E-2</c:v>
                </c:pt>
                <c:pt idx="10">
                  <c:v>5.4126940833838906E-2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09-E54E-B5A7-889FC156C3FF}"/>
            </c:ext>
          </c:extLst>
        </c:ser>
        <c:ser>
          <c:idx val="1"/>
          <c:order val="1"/>
          <c:tx>
            <c:v>CML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'RiskFreeAsset+CML'!$H$18:$R$18</c:f>
              <c:numCache>
                <c:formatCode>0.00%</c:formatCode>
                <c:ptCount val="11"/>
                <c:pt idx="0">
                  <c:v>2.1867034402379042E-18</c:v>
                </c:pt>
                <c:pt idx="1">
                  <c:v>1.3253478305518667E-2</c:v>
                </c:pt>
                <c:pt idx="2">
                  <c:v>2.6506956611037333E-2</c:v>
                </c:pt>
                <c:pt idx="3">
                  <c:v>3.9760434916556009E-2</c:v>
                </c:pt>
                <c:pt idx="4">
                  <c:v>5.3013913222074681E-2</c:v>
                </c:pt>
                <c:pt idx="5">
                  <c:v>6.6267391527593353E-2</c:v>
                </c:pt>
                <c:pt idx="6">
                  <c:v>7.9520869833112004E-2</c:v>
                </c:pt>
                <c:pt idx="7">
                  <c:v>9.2774348138630683E-2</c:v>
                </c:pt>
                <c:pt idx="8">
                  <c:v>0.10602782644414936</c:v>
                </c:pt>
                <c:pt idx="9">
                  <c:v>0.11928130474966804</c:v>
                </c:pt>
                <c:pt idx="10">
                  <c:v>0.13253478305518671</c:v>
                </c:pt>
              </c:numCache>
            </c:numRef>
          </c:xVal>
          <c:yVal>
            <c:numRef>
              <c:f>'RiskFreeAsset+CML'!$H$17:$R$17</c:f>
              <c:numCache>
                <c:formatCode>0.00%</c:formatCode>
                <c:ptCount val="11"/>
                <c:pt idx="0">
                  <c:v>1.6666666666666646E-3</c:v>
                </c:pt>
                <c:pt idx="1">
                  <c:v>6.8350615171757813E-3</c:v>
                </c:pt>
                <c:pt idx="2">
                  <c:v>1.2003456367684897E-2</c:v>
                </c:pt>
                <c:pt idx="3">
                  <c:v>1.717185121819402E-2</c:v>
                </c:pt>
                <c:pt idx="4">
                  <c:v>2.2340246068703131E-2</c:v>
                </c:pt>
                <c:pt idx="5">
                  <c:v>2.7508640919212252E-2</c:v>
                </c:pt>
                <c:pt idx="6">
                  <c:v>3.267703576972137E-2</c:v>
                </c:pt>
                <c:pt idx="7">
                  <c:v>3.7845430620230498E-2</c:v>
                </c:pt>
                <c:pt idx="8">
                  <c:v>4.3013825470739599E-2</c:v>
                </c:pt>
                <c:pt idx="9">
                  <c:v>4.818222032124872E-2</c:v>
                </c:pt>
                <c:pt idx="10">
                  <c:v>5.3350615171757834E-2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09-E54E-B5A7-889FC156C3FF}"/>
            </c:ext>
          </c:extLst>
        </c:ser>
        <c:ser>
          <c:idx val="2"/>
          <c:order val="2"/>
          <c:tx>
            <c:v>Market Portfolio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triangle"/>
              <c:size val="10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009-E54E-B5A7-889FC156C3FF}"/>
              </c:ext>
            </c:extLst>
          </c:dPt>
          <c:xVal>
            <c:numRef>
              <c:f>'Market Portfolio'!$S$18</c:f>
              <c:numCache>
                <c:formatCode>0.00%</c:formatCode>
                <c:ptCount val="1"/>
                <c:pt idx="0">
                  <c:v>6.1842653203142861E-2</c:v>
                </c:pt>
              </c:numCache>
            </c:numRef>
          </c:xVal>
          <c:yVal>
            <c:numRef>
              <c:f>'Market Portfolio'!$S$17</c:f>
              <c:numCache>
                <c:formatCode>0.00%</c:formatCode>
                <c:ptCount val="1"/>
                <c:pt idx="0">
                  <c:v>2.5783146893435045E-2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09-E54E-B5A7-889FC156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976720"/>
        <c:axId val="565099103"/>
      </c:scatterChart>
      <c:valAx>
        <c:axId val="180297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 SD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99103"/>
        <c:crosses val="autoZero"/>
        <c:crossBetween val="midCat"/>
      </c:valAx>
      <c:valAx>
        <c:axId val="56509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7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NVDA Stock Payoff Pattern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Put!$B$21</c:f>
              <c:strCache>
                <c:ptCount val="1"/>
                <c:pt idx="0">
                  <c:v>Profit from buying the stock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Put!$A$23:$A$43</c:f>
              <c:numCache>
                <c:formatCode>General</c:formatCode>
                <c:ptCount val="2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</c:numCache>
            </c:numRef>
          </c:xVal>
          <c:yVal>
            <c:numRef>
              <c:f>Put!$B$23:$B$43</c:f>
              <c:numCache>
                <c:formatCode>_("$"* #,##0.00_);_("$"* \(#,##0.00\);_("$"* "-"??_);_(@_)</c:formatCode>
                <c:ptCount val="21"/>
                <c:pt idx="0">
                  <c:v>-12.99</c:v>
                </c:pt>
                <c:pt idx="1">
                  <c:v>2.0099999999999998</c:v>
                </c:pt>
                <c:pt idx="2">
                  <c:v>17.009999999999998</c:v>
                </c:pt>
                <c:pt idx="3">
                  <c:v>32.01</c:v>
                </c:pt>
                <c:pt idx="4">
                  <c:v>47.01</c:v>
                </c:pt>
                <c:pt idx="5">
                  <c:v>62.01</c:v>
                </c:pt>
                <c:pt idx="6">
                  <c:v>77.010000000000005</c:v>
                </c:pt>
                <c:pt idx="7">
                  <c:v>92.01</c:v>
                </c:pt>
                <c:pt idx="8">
                  <c:v>107.01</c:v>
                </c:pt>
                <c:pt idx="9">
                  <c:v>122.01</c:v>
                </c:pt>
                <c:pt idx="10">
                  <c:v>137.01</c:v>
                </c:pt>
                <c:pt idx="11">
                  <c:v>152.01</c:v>
                </c:pt>
                <c:pt idx="12">
                  <c:v>167.01</c:v>
                </c:pt>
                <c:pt idx="13">
                  <c:v>182.01</c:v>
                </c:pt>
                <c:pt idx="14">
                  <c:v>197.01</c:v>
                </c:pt>
                <c:pt idx="15">
                  <c:v>212.01</c:v>
                </c:pt>
                <c:pt idx="16">
                  <c:v>227.01</c:v>
                </c:pt>
                <c:pt idx="17">
                  <c:v>242.01</c:v>
                </c:pt>
                <c:pt idx="18">
                  <c:v>257.01</c:v>
                </c:pt>
                <c:pt idx="19">
                  <c:v>272.01</c:v>
                </c:pt>
                <c:pt idx="20">
                  <c:v>287.01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B9-F644-B57A-DA4D1B801C41}"/>
            </c:ext>
          </c:extLst>
        </c:ser>
        <c:ser>
          <c:idx val="1"/>
          <c:order val="1"/>
          <c:tx>
            <c:strRef>
              <c:f>Put!$C$21</c:f>
              <c:strCache>
                <c:ptCount val="1"/>
                <c:pt idx="0">
                  <c:v>Profit from shorting the stock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Put!$A$23:$A$43</c:f>
              <c:numCache>
                <c:formatCode>General</c:formatCode>
                <c:ptCount val="2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</c:numCache>
            </c:numRef>
          </c:xVal>
          <c:yVal>
            <c:numRef>
              <c:f>Put!$C$23:$C$43</c:f>
              <c:numCache>
                <c:formatCode>_("$"* #,##0.00_);_("$"* \(#,##0.00\);_("$"* "-"??_);_(@_)</c:formatCode>
                <c:ptCount val="21"/>
                <c:pt idx="0">
                  <c:v>12.99</c:v>
                </c:pt>
                <c:pt idx="1">
                  <c:v>-2.0099999999999998</c:v>
                </c:pt>
                <c:pt idx="2">
                  <c:v>-17.009999999999998</c:v>
                </c:pt>
                <c:pt idx="3">
                  <c:v>-32.01</c:v>
                </c:pt>
                <c:pt idx="4">
                  <c:v>-47.01</c:v>
                </c:pt>
                <c:pt idx="5">
                  <c:v>-62.01</c:v>
                </c:pt>
                <c:pt idx="6">
                  <c:v>-77.010000000000005</c:v>
                </c:pt>
                <c:pt idx="7">
                  <c:v>-92.01</c:v>
                </c:pt>
                <c:pt idx="8">
                  <c:v>-107.01</c:v>
                </c:pt>
                <c:pt idx="9">
                  <c:v>-122.01</c:v>
                </c:pt>
                <c:pt idx="10">
                  <c:v>-137.01</c:v>
                </c:pt>
                <c:pt idx="11">
                  <c:v>-152.01</c:v>
                </c:pt>
                <c:pt idx="12">
                  <c:v>-167.01</c:v>
                </c:pt>
                <c:pt idx="13">
                  <c:v>-182.01</c:v>
                </c:pt>
                <c:pt idx="14">
                  <c:v>-197.01</c:v>
                </c:pt>
                <c:pt idx="15">
                  <c:v>-212.01</c:v>
                </c:pt>
                <c:pt idx="16">
                  <c:v>-227.01</c:v>
                </c:pt>
                <c:pt idx="17">
                  <c:v>-242.01</c:v>
                </c:pt>
                <c:pt idx="18">
                  <c:v>-257.01</c:v>
                </c:pt>
                <c:pt idx="19">
                  <c:v>-272.01</c:v>
                </c:pt>
                <c:pt idx="20">
                  <c:v>-287.01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B9-F644-B57A-DA4D1B801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48351"/>
        <c:axId val="696696895"/>
      </c:scatterChart>
      <c:valAx>
        <c:axId val="93848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 stock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96895"/>
        <c:crosses val="autoZero"/>
        <c:crossBetween val="midCat"/>
      </c:valAx>
      <c:valAx>
        <c:axId val="696696895"/>
        <c:scaling>
          <c:orientation val="minMax"/>
          <c:max val="350"/>
          <c:min val="-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48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NVDA Put Option Profit Patterns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Put!$D$21</c:f>
              <c:strCache>
                <c:ptCount val="1"/>
                <c:pt idx="0">
                  <c:v>Profit from buying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Put!$A$23:$A$43</c:f>
              <c:numCache>
                <c:formatCode>General</c:formatCode>
                <c:ptCount val="2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</c:numCache>
            </c:numRef>
          </c:xVal>
          <c:yVal>
            <c:numRef>
              <c:f>Put!$D$23:$D$43</c:f>
              <c:numCache>
                <c:formatCode>_("$"* #,##0.00_);_("$"* \(#,##0.00\);_("$"* "-"??_);_(@_)</c:formatCode>
                <c:ptCount val="21"/>
                <c:pt idx="0">
                  <c:v>191.2</c:v>
                </c:pt>
                <c:pt idx="1">
                  <c:v>176.2</c:v>
                </c:pt>
                <c:pt idx="2">
                  <c:v>161.19999999999999</c:v>
                </c:pt>
                <c:pt idx="3">
                  <c:v>146.19999999999999</c:v>
                </c:pt>
                <c:pt idx="4">
                  <c:v>131.19999999999999</c:v>
                </c:pt>
                <c:pt idx="5">
                  <c:v>116.2</c:v>
                </c:pt>
                <c:pt idx="6">
                  <c:v>101.2</c:v>
                </c:pt>
                <c:pt idx="7">
                  <c:v>86.2</c:v>
                </c:pt>
                <c:pt idx="8">
                  <c:v>71.2</c:v>
                </c:pt>
                <c:pt idx="9">
                  <c:v>56.2</c:v>
                </c:pt>
                <c:pt idx="10">
                  <c:v>41.2</c:v>
                </c:pt>
                <c:pt idx="11">
                  <c:v>26.2</c:v>
                </c:pt>
                <c:pt idx="12">
                  <c:v>11.2</c:v>
                </c:pt>
                <c:pt idx="13">
                  <c:v>-3.8000000000000007</c:v>
                </c:pt>
                <c:pt idx="14">
                  <c:v>-18.8</c:v>
                </c:pt>
                <c:pt idx="15">
                  <c:v>-23.8</c:v>
                </c:pt>
                <c:pt idx="16">
                  <c:v>-23.8</c:v>
                </c:pt>
                <c:pt idx="17">
                  <c:v>-23.8</c:v>
                </c:pt>
                <c:pt idx="18">
                  <c:v>-23.8</c:v>
                </c:pt>
                <c:pt idx="19">
                  <c:v>-23.8</c:v>
                </c:pt>
                <c:pt idx="20">
                  <c:v>-23.8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45-D241-880D-A33F788BCF73}"/>
            </c:ext>
          </c:extLst>
        </c:ser>
        <c:ser>
          <c:idx val="1"/>
          <c:order val="1"/>
          <c:tx>
            <c:strRef>
              <c:f>Put!$E$21</c:f>
              <c:strCache>
                <c:ptCount val="1"/>
                <c:pt idx="0">
                  <c:v>Profit from selling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Put!$A$23:$A$43</c:f>
              <c:numCache>
                <c:formatCode>General</c:formatCode>
                <c:ptCount val="2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</c:numCache>
            </c:numRef>
          </c:xVal>
          <c:yVal>
            <c:numRef>
              <c:f>Put!$E$23:$E$43</c:f>
              <c:numCache>
                <c:formatCode>_("$"* #,##0.00_);_("$"* \(#,##0.00\);_("$"* "-"??_);_(@_)</c:formatCode>
                <c:ptCount val="21"/>
                <c:pt idx="0">
                  <c:v>-191.2</c:v>
                </c:pt>
                <c:pt idx="1">
                  <c:v>-176.2</c:v>
                </c:pt>
                <c:pt idx="2">
                  <c:v>-161.19999999999999</c:v>
                </c:pt>
                <c:pt idx="3">
                  <c:v>-146.19999999999999</c:v>
                </c:pt>
                <c:pt idx="4">
                  <c:v>-131.19999999999999</c:v>
                </c:pt>
                <c:pt idx="5">
                  <c:v>-116.2</c:v>
                </c:pt>
                <c:pt idx="6">
                  <c:v>-101.2</c:v>
                </c:pt>
                <c:pt idx="7">
                  <c:v>-86.2</c:v>
                </c:pt>
                <c:pt idx="8">
                  <c:v>-71.2</c:v>
                </c:pt>
                <c:pt idx="9">
                  <c:v>-56.2</c:v>
                </c:pt>
                <c:pt idx="10">
                  <c:v>-41.2</c:v>
                </c:pt>
                <c:pt idx="11">
                  <c:v>-26.2</c:v>
                </c:pt>
                <c:pt idx="12">
                  <c:v>-11.2</c:v>
                </c:pt>
                <c:pt idx="13">
                  <c:v>3.8000000000000007</c:v>
                </c:pt>
                <c:pt idx="14">
                  <c:v>18.8</c:v>
                </c:pt>
                <c:pt idx="15">
                  <c:v>23.8</c:v>
                </c:pt>
                <c:pt idx="16">
                  <c:v>23.8</c:v>
                </c:pt>
                <c:pt idx="17">
                  <c:v>23.8</c:v>
                </c:pt>
                <c:pt idx="18">
                  <c:v>23.8</c:v>
                </c:pt>
                <c:pt idx="19">
                  <c:v>23.8</c:v>
                </c:pt>
                <c:pt idx="20">
                  <c:v>23.8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45-D241-880D-A33F788BC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651487"/>
        <c:axId val="1341504831"/>
      </c:scatterChart>
      <c:valAx>
        <c:axId val="66365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504831"/>
        <c:crosses val="autoZero"/>
        <c:crossBetween val="midCat"/>
      </c:valAx>
      <c:valAx>
        <c:axId val="134150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5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NVDA Protective Put Strategy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Put!$B$21</c:f>
              <c:strCache>
                <c:ptCount val="1"/>
                <c:pt idx="0">
                  <c:v>Profit from buying the stock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Put!$A$23:$A$43</c:f>
              <c:numCache>
                <c:formatCode>General</c:formatCode>
                <c:ptCount val="2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</c:numCache>
            </c:numRef>
          </c:xVal>
          <c:yVal>
            <c:numRef>
              <c:f>Put!$B$23:$B$43</c:f>
              <c:numCache>
                <c:formatCode>_("$"* #,##0.00_);_("$"* \(#,##0.00\);_("$"* "-"??_);_(@_)</c:formatCode>
                <c:ptCount val="21"/>
                <c:pt idx="0">
                  <c:v>-12.99</c:v>
                </c:pt>
                <c:pt idx="1">
                  <c:v>2.0099999999999998</c:v>
                </c:pt>
                <c:pt idx="2">
                  <c:v>17.009999999999998</c:v>
                </c:pt>
                <c:pt idx="3">
                  <c:v>32.01</c:v>
                </c:pt>
                <c:pt idx="4">
                  <c:v>47.01</c:v>
                </c:pt>
                <c:pt idx="5">
                  <c:v>62.01</c:v>
                </c:pt>
                <c:pt idx="6">
                  <c:v>77.010000000000005</c:v>
                </c:pt>
                <c:pt idx="7">
                  <c:v>92.01</c:v>
                </c:pt>
                <c:pt idx="8">
                  <c:v>107.01</c:v>
                </c:pt>
                <c:pt idx="9">
                  <c:v>122.01</c:v>
                </c:pt>
                <c:pt idx="10">
                  <c:v>137.01</c:v>
                </c:pt>
                <c:pt idx="11">
                  <c:v>152.01</c:v>
                </c:pt>
                <c:pt idx="12">
                  <c:v>167.01</c:v>
                </c:pt>
                <c:pt idx="13">
                  <c:v>182.01</c:v>
                </c:pt>
                <c:pt idx="14">
                  <c:v>197.01</c:v>
                </c:pt>
                <c:pt idx="15">
                  <c:v>212.01</c:v>
                </c:pt>
                <c:pt idx="16">
                  <c:v>227.01</c:v>
                </c:pt>
                <c:pt idx="17">
                  <c:v>242.01</c:v>
                </c:pt>
                <c:pt idx="18">
                  <c:v>257.01</c:v>
                </c:pt>
                <c:pt idx="19">
                  <c:v>272.01</c:v>
                </c:pt>
                <c:pt idx="20">
                  <c:v>287.01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B-9149-9180-A1647AF8AE1C}"/>
            </c:ext>
          </c:extLst>
        </c:ser>
        <c:ser>
          <c:idx val="1"/>
          <c:order val="1"/>
          <c:tx>
            <c:strRef>
              <c:f>Put!$D$21</c:f>
              <c:strCache>
                <c:ptCount val="1"/>
                <c:pt idx="0">
                  <c:v>Profit from buying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Put!$A$23:$A$43</c:f>
              <c:numCache>
                <c:formatCode>General</c:formatCode>
                <c:ptCount val="2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</c:numCache>
            </c:numRef>
          </c:xVal>
          <c:yVal>
            <c:numRef>
              <c:f>Put!$D$23:$D$43</c:f>
              <c:numCache>
                <c:formatCode>_("$"* #,##0.00_);_("$"* \(#,##0.00\);_("$"* "-"??_);_(@_)</c:formatCode>
                <c:ptCount val="21"/>
                <c:pt idx="0">
                  <c:v>191.2</c:v>
                </c:pt>
                <c:pt idx="1">
                  <c:v>176.2</c:v>
                </c:pt>
                <c:pt idx="2">
                  <c:v>161.19999999999999</c:v>
                </c:pt>
                <c:pt idx="3">
                  <c:v>146.19999999999999</c:v>
                </c:pt>
                <c:pt idx="4">
                  <c:v>131.19999999999999</c:v>
                </c:pt>
                <c:pt idx="5">
                  <c:v>116.2</c:v>
                </c:pt>
                <c:pt idx="6">
                  <c:v>101.2</c:v>
                </c:pt>
                <c:pt idx="7">
                  <c:v>86.2</c:v>
                </c:pt>
                <c:pt idx="8">
                  <c:v>71.2</c:v>
                </c:pt>
                <c:pt idx="9">
                  <c:v>56.2</c:v>
                </c:pt>
                <c:pt idx="10">
                  <c:v>41.2</c:v>
                </c:pt>
                <c:pt idx="11">
                  <c:v>26.2</c:v>
                </c:pt>
                <c:pt idx="12">
                  <c:v>11.2</c:v>
                </c:pt>
                <c:pt idx="13">
                  <c:v>-3.8000000000000007</c:v>
                </c:pt>
                <c:pt idx="14">
                  <c:v>-18.8</c:v>
                </c:pt>
                <c:pt idx="15">
                  <c:v>-23.8</c:v>
                </c:pt>
                <c:pt idx="16">
                  <c:v>-23.8</c:v>
                </c:pt>
                <c:pt idx="17">
                  <c:v>-23.8</c:v>
                </c:pt>
                <c:pt idx="18">
                  <c:v>-23.8</c:v>
                </c:pt>
                <c:pt idx="19">
                  <c:v>-23.8</c:v>
                </c:pt>
                <c:pt idx="20">
                  <c:v>-23.8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7B-9149-9180-A1647AF8AE1C}"/>
            </c:ext>
          </c:extLst>
        </c:ser>
        <c:ser>
          <c:idx val="2"/>
          <c:order val="2"/>
          <c:tx>
            <c:strRef>
              <c:f>Put!$F$21</c:f>
              <c:strCache>
                <c:ptCount val="1"/>
                <c:pt idx="0">
                  <c:v>Profit from protective put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Put!$A$23:$A$43</c:f>
              <c:numCache>
                <c:formatCode>General</c:formatCode>
                <c:ptCount val="2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</c:numCache>
            </c:numRef>
          </c:xVal>
          <c:yVal>
            <c:numRef>
              <c:f>Put!$F$23:$F$43</c:f>
              <c:numCache>
                <c:formatCode>_("$"* #,##0.00_);_("$"* \(#,##0.00\);_("$"* "-"??_);_(@_)</c:formatCode>
                <c:ptCount val="21"/>
                <c:pt idx="0">
                  <c:v>178.20999999999998</c:v>
                </c:pt>
                <c:pt idx="1">
                  <c:v>178.20999999999998</c:v>
                </c:pt>
                <c:pt idx="2">
                  <c:v>178.20999999999998</c:v>
                </c:pt>
                <c:pt idx="3">
                  <c:v>178.20999999999998</c:v>
                </c:pt>
                <c:pt idx="4">
                  <c:v>178.20999999999998</c:v>
                </c:pt>
                <c:pt idx="5">
                  <c:v>178.21</c:v>
                </c:pt>
                <c:pt idx="6">
                  <c:v>178.21</c:v>
                </c:pt>
                <c:pt idx="7">
                  <c:v>178.21</c:v>
                </c:pt>
                <c:pt idx="8">
                  <c:v>178.21</c:v>
                </c:pt>
                <c:pt idx="9">
                  <c:v>178.21</c:v>
                </c:pt>
                <c:pt idx="10">
                  <c:v>178.20999999999998</c:v>
                </c:pt>
                <c:pt idx="11">
                  <c:v>178.20999999999998</c:v>
                </c:pt>
                <c:pt idx="12">
                  <c:v>178.20999999999998</c:v>
                </c:pt>
                <c:pt idx="13">
                  <c:v>178.20999999999998</c:v>
                </c:pt>
                <c:pt idx="14">
                  <c:v>178.20999999999998</c:v>
                </c:pt>
                <c:pt idx="15">
                  <c:v>188.20999999999998</c:v>
                </c:pt>
                <c:pt idx="16">
                  <c:v>203.20999999999998</c:v>
                </c:pt>
                <c:pt idx="17">
                  <c:v>218.20999999999998</c:v>
                </c:pt>
                <c:pt idx="18">
                  <c:v>233.20999999999998</c:v>
                </c:pt>
                <c:pt idx="19">
                  <c:v>248.20999999999998</c:v>
                </c:pt>
                <c:pt idx="20">
                  <c:v>263.20999999999998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7B-9149-9180-A1647AF8A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46975"/>
        <c:axId val="92045487"/>
      </c:scatterChart>
      <c:valAx>
        <c:axId val="9144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</a:t>
                </a:r>
                <a:r>
                  <a:rPr lang="en-US" baseline="0"/>
                  <a:t> stock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5487"/>
        <c:crosses val="autoZero"/>
        <c:crossBetween val="midCat"/>
      </c:valAx>
      <c:valAx>
        <c:axId val="9204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46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Black Scholes Model Put Option Price vs Intrinsic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BSM!$B$20</c:f>
              <c:strCache>
                <c:ptCount val="1"/>
                <c:pt idx="0">
                  <c:v>Put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BSM!$A$22:$A$42</c:f>
              <c:numCache>
                <c:formatCode>General</c:formatCode>
                <c:ptCount val="21"/>
                <c:pt idx="0">
                  <c:v>5</c:v>
                </c:pt>
                <c:pt idx="1">
                  <c:v>20</c:v>
                </c:pt>
                <c:pt idx="2">
                  <c:v>35</c:v>
                </c:pt>
                <c:pt idx="3">
                  <c:v>50</c:v>
                </c:pt>
                <c:pt idx="4">
                  <c:v>65</c:v>
                </c:pt>
                <c:pt idx="5">
                  <c:v>80</c:v>
                </c:pt>
                <c:pt idx="6">
                  <c:v>95</c:v>
                </c:pt>
                <c:pt idx="7">
                  <c:v>110</c:v>
                </c:pt>
                <c:pt idx="8">
                  <c:v>125</c:v>
                </c:pt>
                <c:pt idx="9">
                  <c:v>140</c:v>
                </c:pt>
                <c:pt idx="10">
                  <c:v>155</c:v>
                </c:pt>
                <c:pt idx="11">
                  <c:v>170</c:v>
                </c:pt>
                <c:pt idx="12">
                  <c:v>185</c:v>
                </c:pt>
                <c:pt idx="13">
                  <c:v>200</c:v>
                </c:pt>
                <c:pt idx="14">
                  <c:v>215</c:v>
                </c:pt>
                <c:pt idx="15">
                  <c:v>230</c:v>
                </c:pt>
                <c:pt idx="16">
                  <c:v>245</c:v>
                </c:pt>
                <c:pt idx="17">
                  <c:v>260</c:v>
                </c:pt>
                <c:pt idx="18">
                  <c:v>275</c:v>
                </c:pt>
                <c:pt idx="19">
                  <c:v>290</c:v>
                </c:pt>
                <c:pt idx="20">
                  <c:v>305</c:v>
                </c:pt>
              </c:numCache>
            </c:numRef>
          </c:xVal>
          <c:yVal>
            <c:numRef>
              <c:f>BSM!$B$22:$B$42</c:f>
              <c:numCache>
                <c:formatCode>_("$"* #,##0.00_);_("$"* \(#,##0.00\);_("$"* "-"??_);_(@_)</c:formatCode>
                <c:ptCount val="21"/>
                <c:pt idx="0">
                  <c:v>206.09424547978014</c:v>
                </c:pt>
                <c:pt idx="1">
                  <c:v>191.09424547978014</c:v>
                </c:pt>
                <c:pt idx="2">
                  <c:v>176.09424547978017</c:v>
                </c:pt>
                <c:pt idx="3">
                  <c:v>161.09424548182324</c:v>
                </c:pt>
                <c:pt idx="4">
                  <c:v>146.09424706533321</c:v>
                </c:pt>
                <c:pt idx="5">
                  <c:v>131.09438044594359</c:v>
                </c:pt>
                <c:pt idx="6">
                  <c:v>116.09736466666141</c:v>
                </c:pt>
                <c:pt idx="7">
                  <c:v>101.12547725540151</c:v>
                </c:pt>
                <c:pt idx="8">
                  <c:v>86.271439352247143</c:v>
                </c:pt>
                <c:pt idx="9">
                  <c:v>71.766954439790709</c:v>
                </c:pt>
                <c:pt idx="10">
                  <c:v>58.000157592080001</c:v>
                </c:pt>
                <c:pt idx="11">
                  <c:v>45.436614000055329</c:v>
                </c:pt>
                <c:pt idx="12">
                  <c:v>34.483009482557321</c:v>
                </c:pt>
                <c:pt idx="13">
                  <c:v>25.375146229243569</c:v>
                </c:pt>
                <c:pt idx="14">
                  <c:v>18.140412972103491</c:v>
                </c:pt>
                <c:pt idx="15">
                  <c:v>12.630352848838584</c:v>
                </c:pt>
                <c:pt idx="16">
                  <c:v>8.5886118118513082</c:v>
                </c:pt>
                <c:pt idx="17">
                  <c:v>5.719942458376579</c:v>
                </c:pt>
                <c:pt idx="18">
                  <c:v>3.7410457550274145</c:v>
                </c:pt>
                <c:pt idx="19">
                  <c:v>2.4088718211893365</c:v>
                </c:pt>
                <c:pt idx="20">
                  <c:v>1.5305244719622806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C5-A649-A536-E57202527F4F}"/>
            </c:ext>
          </c:extLst>
        </c:ser>
        <c:ser>
          <c:idx val="1"/>
          <c:order val="1"/>
          <c:tx>
            <c:strRef>
              <c:f>BSM!$C$20</c:f>
              <c:strCache>
                <c:ptCount val="1"/>
                <c:pt idx="0">
                  <c:v>Options intrinsic value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BSM!$A$22:$A$42</c:f>
              <c:numCache>
                <c:formatCode>General</c:formatCode>
                <c:ptCount val="21"/>
                <c:pt idx="0">
                  <c:v>5</c:v>
                </c:pt>
                <c:pt idx="1">
                  <c:v>20</c:v>
                </c:pt>
                <c:pt idx="2">
                  <c:v>35</c:v>
                </c:pt>
                <c:pt idx="3">
                  <c:v>50</c:v>
                </c:pt>
                <c:pt idx="4">
                  <c:v>65</c:v>
                </c:pt>
                <c:pt idx="5">
                  <c:v>80</c:v>
                </c:pt>
                <c:pt idx="6">
                  <c:v>95</c:v>
                </c:pt>
                <c:pt idx="7">
                  <c:v>110</c:v>
                </c:pt>
                <c:pt idx="8">
                  <c:v>125</c:v>
                </c:pt>
                <c:pt idx="9">
                  <c:v>140</c:v>
                </c:pt>
                <c:pt idx="10">
                  <c:v>155</c:v>
                </c:pt>
                <c:pt idx="11">
                  <c:v>170</c:v>
                </c:pt>
                <c:pt idx="12">
                  <c:v>185</c:v>
                </c:pt>
                <c:pt idx="13">
                  <c:v>200</c:v>
                </c:pt>
                <c:pt idx="14">
                  <c:v>215</c:v>
                </c:pt>
                <c:pt idx="15">
                  <c:v>230</c:v>
                </c:pt>
                <c:pt idx="16">
                  <c:v>245</c:v>
                </c:pt>
                <c:pt idx="17">
                  <c:v>260</c:v>
                </c:pt>
                <c:pt idx="18">
                  <c:v>275</c:v>
                </c:pt>
                <c:pt idx="19">
                  <c:v>290</c:v>
                </c:pt>
                <c:pt idx="20">
                  <c:v>305</c:v>
                </c:pt>
              </c:numCache>
            </c:numRef>
          </c:xVal>
          <c:yVal>
            <c:numRef>
              <c:f>BSM!$C$22:$C$42</c:f>
              <c:numCache>
                <c:formatCode>_("$"* #,##0.00_);_("$"* \(#,##0.00\);_("$"* "-"??_);_(@_)</c:formatCode>
                <c:ptCount val="21"/>
                <c:pt idx="0">
                  <c:v>210</c:v>
                </c:pt>
                <c:pt idx="1">
                  <c:v>195</c:v>
                </c:pt>
                <c:pt idx="2">
                  <c:v>180</c:v>
                </c:pt>
                <c:pt idx="3">
                  <c:v>165</c:v>
                </c:pt>
                <c:pt idx="4">
                  <c:v>150</c:v>
                </c:pt>
                <c:pt idx="5">
                  <c:v>135</c:v>
                </c:pt>
                <c:pt idx="6">
                  <c:v>120</c:v>
                </c:pt>
                <c:pt idx="7">
                  <c:v>105</c:v>
                </c:pt>
                <c:pt idx="8">
                  <c:v>90</c:v>
                </c:pt>
                <c:pt idx="9">
                  <c:v>75</c:v>
                </c:pt>
                <c:pt idx="10">
                  <c:v>60</c:v>
                </c:pt>
                <c:pt idx="11">
                  <c:v>45</c:v>
                </c:pt>
                <c:pt idx="12">
                  <c:v>30</c:v>
                </c:pt>
                <c:pt idx="13">
                  <c:v>15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C5-A649-A536-E57202527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780288"/>
        <c:axId val="1589030288"/>
      </c:scatterChart>
      <c:valAx>
        <c:axId val="158878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030288"/>
        <c:crosses val="autoZero"/>
        <c:crossBetween val="midCat"/>
      </c:valAx>
      <c:valAx>
        <c:axId val="158903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Price/Value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78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 delta as function of stock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Delta!$F$5</c:f>
              <c:strCache>
                <c:ptCount val="1"/>
                <c:pt idx="0">
                  <c:v>Put 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Delta!$E$7:$E$31</c:f>
              <c:numCache>
                <c:formatCode>General</c:formatCode>
                <c:ptCount val="25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  <c:pt idx="11">
                  <c:v>225</c:v>
                </c:pt>
                <c:pt idx="12">
                  <c:v>245</c:v>
                </c:pt>
                <c:pt idx="13">
                  <c:v>265</c:v>
                </c:pt>
                <c:pt idx="14">
                  <c:v>285</c:v>
                </c:pt>
                <c:pt idx="15">
                  <c:v>305</c:v>
                </c:pt>
                <c:pt idx="16">
                  <c:v>325</c:v>
                </c:pt>
                <c:pt idx="17">
                  <c:v>345</c:v>
                </c:pt>
                <c:pt idx="18">
                  <c:v>365</c:v>
                </c:pt>
                <c:pt idx="19">
                  <c:v>385</c:v>
                </c:pt>
                <c:pt idx="20">
                  <c:v>405</c:v>
                </c:pt>
                <c:pt idx="21">
                  <c:v>425</c:v>
                </c:pt>
                <c:pt idx="22">
                  <c:v>445</c:v>
                </c:pt>
                <c:pt idx="23">
                  <c:v>465</c:v>
                </c:pt>
                <c:pt idx="24">
                  <c:v>485</c:v>
                </c:pt>
              </c:numCache>
            </c:numRef>
          </c:xVal>
          <c:yVal>
            <c:numRef>
              <c:f>Delta!$F$7:$F$31</c:f>
              <c:numCache>
                <c:formatCode>_(* #,##0.00_);_(* \(#,##0.00\);_(* "-"??_);_(@_)</c:formatCode>
                <c:ptCount val="25"/>
                <c:pt idx="0">
                  <c:v>-0.98183369990595415</c:v>
                </c:pt>
                <c:pt idx="1">
                  <c:v>-0.98183369990595415</c:v>
                </c:pt>
                <c:pt idx="2">
                  <c:v>-0.98183369984103508</c:v>
                </c:pt>
                <c:pt idx="3">
                  <c:v>-0.98183314669941479</c:v>
                </c:pt>
                <c:pt idx="4">
                  <c:v>-0.98174065693577961</c:v>
                </c:pt>
                <c:pt idx="5">
                  <c:v>-0.97960617035940356</c:v>
                </c:pt>
                <c:pt idx="6">
                  <c:v>-0.96430068595354357</c:v>
                </c:pt>
                <c:pt idx="7">
                  <c:v>-0.91259512071274129</c:v>
                </c:pt>
                <c:pt idx="8">
                  <c:v>-0.80757708292918384</c:v>
                </c:pt>
                <c:pt idx="9">
                  <c:v>-0.6581210236411662</c:v>
                </c:pt>
                <c:pt idx="10">
                  <c:v>-0.49335493711898232</c:v>
                </c:pt>
                <c:pt idx="11">
                  <c:v>-0.34273841074466127</c:v>
                </c:pt>
                <c:pt idx="12">
                  <c:v>-0.22302545255937825</c:v>
                </c:pt>
                <c:pt idx="13">
                  <c:v>-0.13743663711147563</c:v>
                </c:pt>
                <c:pt idx="14">
                  <c:v>-8.1011057969084144E-2</c:v>
                </c:pt>
                <c:pt idx="15">
                  <c:v>-4.6069403848148234E-2</c:v>
                </c:pt>
                <c:pt idx="16">
                  <c:v>-2.5458616331470254E-2</c:v>
                </c:pt>
                <c:pt idx="17">
                  <c:v>-1.3752996630860017E-2</c:v>
                </c:pt>
                <c:pt idx="18">
                  <c:v>-7.2983895740032553E-3</c:v>
                </c:pt>
                <c:pt idx="19">
                  <c:v>-3.8200554603267712E-3</c:v>
                </c:pt>
                <c:pt idx="20">
                  <c:v>-1.9786028347654654E-3</c:v>
                </c:pt>
                <c:pt idx="21">
                  <c:v>-1.0168865776316797E-3</c:v>
                </c:pt>
                <c:pt idx="22">
                  <c:v>-5.1973533512660963E-4</c:v>
                </c:pt>
                <c:pt idx="23">
                  <c:v>-2.646605710181934E-4</c:v>
                </c:pt>
                <c:pt idx="24">
                  <c:v>-1.3447956739282523E-4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06-DB45-BAA7-7B789F282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34528"/>
        <c:axId val="515075744"/>
      </c:scatterChart>
      <c:valAx>
        <c:axId val="515034528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75744"/>
        <c:crosses val="autoZero"/>
        <c:crossBetween val="midCat"/>
      </c:valAx>
      <c:valAx>
        <c:axId val="51507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Put 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3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Put delta as a function of time to maturity and moneyness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Delta!$I$6</c:f>
              <c:strCache>
                <c:ptCount val="1"/>
                <c:pt idx="0">
                  <c:v>In-the-money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Delta!$H$8:$H$44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Delta!$I$8:$I$44</c:f>
              <c:numCache>
                <c:formatCode>_(* #,##0.00_);_(* \(#,##0.00\);_(* "-"??_);_(@_)</c:formatCode>
                <c:ptCount val="37"/>
                <c:pt idx="0">
                  <c:v>-0.24783475091424603</c:v>
                </c:pt>
                <c:pt idx="1">
                  <c:v>-0.2636442655616516</c:v>
                </c:pt>
                <c:pt idx="2">
                  <c:v>-0.27492006986841111</c:v>
                </c:pt>
                <c:pt idx="3">
                  <c:v>-0.28327462040035517</c:v>
                </c:pt>
                <c:pt idx="4">
                  <c:v>-0.2896277593960801</c:v>
                </c:pt>
                <c:pt idx="5">
                  <c:v>-0.29454567505042206</c:v>
                </c:pt>
                <c:pt idx="6">
                  <c:v>-0.29839749704058799</c:v>
                </c:pt>
                <c:pt idx="7">
                  <c:v>-0.30143495883228855</c:v>
                </c:pt>
                <c:pt idx="8">
                  <c:v>-0.30383605911079575</c:v>
                </c:pt>
                <c:pt idx="9">
                  <c:v>-0.30573045674108762</c:v>
                </c:pt>
                <c:pt idx="10">
                  <c:v>-0.30721497544014525</c:v>
                </c:pt>
                <c:pt idx="11">
                  <c:v>-0.30836345997194148</c:v>
                </c:pt>
                <c:pt idx="12">
                  <c:v>-0.30923325921229233</c:v>
                </c:pt>
                <c:pt idx="13">
                  <c:v>-0.30986961706063137</c:v>
                </c:pt>
                <c:pt idx="14">
                  <c:v>-0.31030872271259818</c:v>
                </c:pt>
                <c:pt idx="15">
                  <c:v>-0.31057987715540042</c:v>
                </c:pt>
                <c:pt idx="16">
                  <c:v>-0.31070706237751661</c:v>
                </c:pt>
                <c:pt idx="17">
                  <c:v>-0.31071009792319282</c:v>
                </c:pt>
                <c:pt idx="18">
                  <c:v>-0.31060550669673731</c:v>
                </c:pt>
                <c:pt idx="19">
                  <c:v>-0.31040717226828057</c:v>
                </c:pt>
                <c:pt idx="20">
                  <c:v>-0.31012684426879306</c:v>
                </c:pt>
                <c:pt idx="21">
                  <c:v>-0.30977453149701539</c:v>
                </c:pt>
                <c:pt idx="22">
                  <c:v>-0.30935881092910961</c:v>
                </c:pt>
                <c:pt idx="23">
                  <c:v>-0.3088870729830463</c:v>
                </c:pt>
                <c:pt idx="24">
                  <c:v>-0.30836571792834311</c:v>
                </c:pt>
                <c:pt idx="25">
                  <c:v>-0.30780031447068795</c:v>
                </c:pt>
                <c:pt idx="26">
                  <c:v>-0.30719572877427492</c:v>
                </c:pt>
                <c:pt idx="27">
                  <c:v>-0.3065562301773454</c:v>
                </c:pt>
                <c:pt idx="28">
                  <c:v>-0.30588557838315145</c:v>
                </c:pt>
                <c:pt idx="29">
                  <c:v>-0.30518709581560038</c:v>
                </c:pt>
                <c:pt idx="30">
                  <c:v>-0.30446372800988619</c:v>
                </c:pt>
                <c:pt idx="31">
                  <c:v>-0.30371809428901853</c:v>
                </c:pt>
                <c:pt idx="32">
                  <c:v>-0.30295253050459425</c:v>
                </c:pt>
                <c:pt idx="33">
                  <c:v>-0.30216912525663181</c:v>
                </c:pt>
                <c:pt idx="34">
                  <c:v>-0.30136975072550432</c:v>
                </c:pt>
                <c:pt idx="35">
                  <c:v>-0.30055608902896425</c:v>
                </c:pt>
                <c:pt idx="36">
                  <c:v>-0.29972965484427821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97-BC48-8D81-989B7F0257E0}"/>
            </c:ext>
          </c:extLst>
        </c:ser>
        <c:ser>
          <c:idx val="1"/>
          <c:order val="1"/>
          <c:tx>
            <c:strRef>
              <c:f>Delta!$J$6</c:f>
              <c:strCache>
                <c:ptCount val="1"/>
                <c:pt idx="0">
                  <c:v>At-the-money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Delta!$H$8:$H$44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Delta!$J$8:$J$44</c:f>
              <c:numCache>
                <c:formatCode>_(* #,##0.00_);_(* \(#,##0.00\);_(* "-"??_);_(@_)</c:formatCode>
                <c:ptCount val="37"/>
                <c:pt idx="0">
                  <c:v>-0.45984634434420746</c:v>
                </c:pt>
                <c:pt idx="1">
                  <c:v>-0.45488148161404046</c:v>
                </c:pt>
                <c:pt idx="2">
                  <c:v>-0.45035891177179077</c:v>
                </c:pt>
                <c:pt idx="3">
                  <c:v>-0.44617304200562341</c:v>
                </c:pt>
                <c:pt idx="4">
                  <c:v>-0.44225496497099331</c:v>
                </c:pt>
                <c:pt idx="5">
                  <c:v>-0.43855674240485448</c:v>
                </c:pt>
                <c:pt idx="6">
                  <c:v>-0.435043415868127</c:v>
                </c:pt>
                <c:pt idx="7">
                  <c:v>-0.43168855291768227</c:v>
                </c:pt>
                <c:pt idx="8">
                  <c:v>-0.42847158563602861</c:v>
                </c:pt>
                <c:pt idx="9">
                  <c:v>-0.42537613140693481</c:v>
                </c:pt>
                <c:pt idx="10">
                  <c:v>-0.4223888860321442</c:v>
                </c:pt>
                <c:pt idx="11">
                  <c:v>-0.41949886733385366</c:v>
                </c:pt>
                <c:pt idx="12">
                  <c:v>-0.41669688239848673</c:v>
                </c:pt>
                <c:pt idx="13">
                  <c:v>-0.41397514255578705</c:v>
                </c:pt>
                <c:pt idx="14">
                  <c:v>-0.4113269788839648</c:v>
                </c:pt>
                <c:pt idx="15">
                  <c:v>-0.40874662789226685</c:v>
                </c:pt>
                <c:pt idx="16">
                  <c:v>-0.4062290673034662</c:v>
                </c:pt>
                <c:pt idx="17">
                  <c:v>-0.40376988831564725</c:v>
                </c:pt>
                <c:pt idx="18">
                  <c:v>-0.40136519489545192</c:v>
                </c:pt>
                <c:pt idx="19">
                  <c:v>-0.39901152341845109</c:v>
                </c:pt>
                <c:pt idx="20">
                  <c:v>-0.39670577784287875</c:v>
                </c:pt>
                <c:pt idx="21">
                  <c:v>-0.39444517689420622</c:v>
                </c:pt>
                <c:pt idx="22">
                  <c:v>-0.39222721064529514</c:v>
                </c:pt>
                <c:pt idx="23">
                  <c:v>-0.39004960452465909</c:v>
                </c:pt>
                <c:pt idx="24">
                  <c:v>-0.38791028925473453</c:v>
                </c:pt>
                <c:pt idx="25">
                  <c:v>-0.38580737556674155</c:v>
                </c:pt>
                <c:pt idx="26">
                  <c:v>-0.38373913279498323</c:v>
                </c:pt>
                <c:pt idx="27">
                  <c:v>-0.38170397064613548</c:v>
                </c:pt>
                <c:pt idx="28">
                  <c:v>-0.3797004235855424</c:v>
                </c:pt>
                <c:pt idx="29">
                  <c:v>-0.37772713739491381</c:v>
                </c:pt>
                <c:pt idx="30">
                  <c:v>-0.37578285754287621</c:v>
                </c:pt>
                <c:pt idx="31">
                  <c:v>-0.37386641907780771</c:v>
                </c:pt>
                <c:pt idx="32">
                  <c:v>-0.37197673780592067</c:v>
                </c:pt>
                <c:pt idx="33">
                  <c:v>-0.37011280256000717</c:v>
                </c:pt>
                <c:pt idx="34">
                  <c:v>-0.36827366839818032</c:v>
                </c:pt>
                <c:pt idx="35">
                  <c:v>-0.36645845059920729</c:v>
                </c:pt>
                <c:pt idx="36">
                  <c:v>-0.36466631934309501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97-BC48-8D81-989B7F0257E0}"/>
            </c:ext>
          </c:extLst>
        </c:ser>
        <c:ser>
          <c:idx val="2"/>
          <c:order val="2"/>
          <c:tx>
            <c:strRef>
              <c:f>Delta!$K$6</c:f>
              <c:strCache>
                <c:ptCount val="1"/>
                <c:pt idx="0">
                  <c:v>Out-of-Money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Delta!$H$8:$H$44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Delta!$K$8:$K$44</c:f>
              <c:numCache>
                <c:formatCode>_(* #,##0.00_);_(* \(#,##0.00\);_(* "-"??_);_(@_)</c:formatCode>
                <c:ptCount val="37"/>
                <c:pt idx="0">
                  <c:v>-0.55544059640720866</c:v>
                </c:pt>
                <c:pt idx="1">
                  <c:v>-0.54035741459854758</c:v>
                </c:pt>
                <c:pt idx="2">
                  <c:v>-0.52831325587614597</c:v>
                </c:pt>
                <c:pt idx="3">
                  <c:v>-0.51824955468871903</c:v>
                </c:pt>
                <c:pt idx="4">
                  <c:v>-0.50957190312053013</c:v>
                </c:pt>
                <c:pt idx="5">
                  <c:v>-0.5019156595392823</c:v>
                </c:pt>
                <c:pt idx="6">
                  <c:v>-0.49504210840819324</c:v>
                </c:pt>
                <c:pt idx="7">
                  <c:v>-0.48878697758400497</c:v>
                </c:pt>
                <c:pt idx="8">
                  <c:v>-0.48303266329003164</c:v>
                </c:pt>
                <c:pt idx="9">
                  <c:v>-0.47769222278810519</c:v>
                </c:pt>
                <c:pt idx="10">
                  <c:v>-0.47269964574204076</c:v>
                </c:pt>
                <c:pt idx="11">
                  <c:v>-0.46800367727252568</c:v>
                </c:pt>
                <c:pt idx="12">
                  <c:v>-0.46356374965505676</c:v>
                </c:pt>
                <c:pt idx="13">
                  <c:v>-0.45934721794357558</c:v>
                </c:pt>
                <c:pt idx="14">
                  <c:v>-0.4553274304402386</c:v>
                </c:pt>
                <c:pt idx="15">
                  <c:v>-0.4514823499968133</c:v>
                </c:pt>
                <c:pt idx="16">
                  <c:v>-0.44779354842788743</c:v>
                </c:pt>
                <c:pt idx="17">
                  <c:v>-0.44424545957463468</c:v>
                </c:pt>
                <c:pt idx="18">
                  <c:v>-0.44082481539687929</c:v>
                </c:pt>
                <c:pt idx="19">
                  <c:v>-0.43752021398481072</c:v>
                </c:pt>
                <c:pt idx="20">
                  <c:v>-0.43432178423951245</c:v>
                </c:pt>
                <c:pt idx="21">
                  <c:v>-0.4312209224592235</c:v>
                </c:pt>
                <c:pt idx="22">
                  <c:v>-0.42821008314435743</c:v>
                </c:pt>
                <c:pt idx="23">
                  <c:v>-0.42528261119589095</c:v>
                </c:pt>
                <c:pt idx="24">
                  <c:v>-0.42243260607750577</c:v>
                </c:pt>
                <c:pt idx="25">
                  <c:v>-0.41965481091996382</c:v>
                </c:pt>
                <c:pt idx="26">
                  <c:v>-0.41694452127780346</c:v>
                </c:pt>
                <c:pt idx="27">
                  <c:v>-0.41429750950968985</c:v>
                </c:pt>
                <c:pt idx="28">
                  <c:v>-0.41170996168337365</c:v>
                </c:pt>
                <c:pt idx="29">
                  <c:v>-0.40917842459900244</c:v>
                </c:pt>
                <c:pt idx="30">
                  <c:v>-0.40669976104614364</c:v>
                </c:pt>
                <c:pt idx="31">
                  <c:v>-0.40427111180638892</c:v>
                </c:pt>
                <c:pt idx="32">
                  <c:v>-0.40188986321753167</c:v>
                </c:pt>
                <c:pt idx="33">
                  <c:v>-0.39955361935053857</c:v>
                </c:pt>
                <c:pt idx="34">
                  <c:v>-0.39726017803390734</c:v>
                </c:pt>
                <c:pt idx="35">
                  <c:v>-0.39500751010403162</c:v>
                </c:pt>
                <c:pt idx="36">
                  <c:v>-0.39279374137408807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97-BC48-8D81-989B7F025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174112"/>
        <c:axId val="515128896"/>
      </c:scatterChart>
      <c:valAx>
        <c:axId val="51517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28896"/>
        <c:crosses val="autoZero"/>
        <c:crossBetween val="midCat"/>
      </c:valAx>
      <c:valAx>
        <c:axId val="5151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Put 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74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1435100</xdr:colOff>
      <xdr:row>20</xdr:row>
      <xdr:rowOff>101600</xdr:rowOff>
    </xdr:from>
    <xdr:to>
      <xdr:col>13</xdr:col>
      <xdr:colOff>63500</xdr:colOff>
      <xdr:row>36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43A08B-36A5-B287-7B6F-AC92674478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241300</xdr:colOff>
      <xdr:row>21</xdr:row>
      <xdr:rowOff>25400</xdr:rowOff>
    </xdr:from>
    <xdr:to>
      <xdr:col>13</xdr:col>
      <xdr:colOff>215900</xdr:colOff>
      <xdr:row>36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B1253D-C25C-DE43-9DF3-4C962BF97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241300</xdr:colOff>
      <xdr:row>21</xdr:row>
      <xdr:rowOff>25400</xdr:rowOff>
    </xdr:from>
    <xdr:to>
      <xdr:col>13</xdr:col>
      <xdr:colOff>215900</xdr:colOff>
      <xdr:row>36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472411-2F16-4F44-AD0F-487446005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482600</xdr:colOff>
      <xdr:row>4</xdr:row>
      <xdr:rowOff>12700</xdr:rowOff>
    </xdr:from>
    <xdr:to>
      <xdr:col>17</xdr:col>
      <xdr:colOff>406400</xdr:colOff>
      <xdr:row>19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DA344D-62C8-A8A6-8970-AF0716070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7800" y="774700"/>
          <a:ext cx="5181600" cy="28194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45</xdr:row>
      <xdr:rowOff>44450</xdr:rowOff>
    </xdr:from>
    <xdr:to>
      <xdr:col>2</xdr:col>
      <xdr:colOff>711200</xdr:colOff>
      <xdr:row>59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56D0DD-F4F8-5DA8-1A2B-FAC203100F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1428750</xdr:colOff>
      <xdr:row>44</xdr:row>
      <xdr:rowOff>127000</xdr:rowOff>
    </xdr:from>
    <xdr:to>
      <xdr:col>5</xdr:col>
      <xdr:colOff>1282700</xdr:colOff>
      <xdr:row>58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17740E-FC1E-21A5-FE05-3DDBD9497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1517650</xdr:colOff>
      <xdr:row>44</xdr:row>
      <xdr:rowOff>107950</xdr:rowOff>
    </xdr:from>
    <xdr:to>
      <xdr:col>11</xdr:col>
      <xdr:colOff>120650</xdr:colOff>
      <xdr:row>58</xdr:row>
      <xdr:rowOff>184150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E794BD-9D52-5E4B-4BCD-9B42DEF690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527050</xdr:colOff>
      <xdr:row>43</xdr:row>
      <xdr:rowOff>6350</xdr:rowOff>
    </xdr:from>
    <xdr:to>
      <xdr:col>2</xdr:col>
      <xdr:colOff>2305050</xdr:colOff>
      <xdr:row>57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1569C0-9C73-D238-5DD2-EC4386424E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32</xdr:row>
      <xdr:rowOff>38100</xdr:rowOff>
    </xdr:from>
    <xdr:to>
      <xdr:col>7</xdr:col>
      <xdr:colOff>171450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8A0D4D-6103-F09D-ECFF-76433D6897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596900</xdr:colOff>
      <xdr:row>47</xdr:row>
      <xdr:rowOff>152400</xdr:rowOff>
    </xdr:from>
    <xdr:to>
      <xdr:col>6</xdr:col>
      <xdr:colOff>228600</xdr:colOff>
      <xdr:row>51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E4295B4-1B2C-8EF6-3D0B-810863F20A91}"/>
            </a:ext>
          </a:extLst>
        </xdr:cNvPr>
        <xdr:cNvSpPr txBox="1"/>
      </xdr:nvSpPr>
      <xdr:spPr>
        <a:xfrm>
          <a:off x="3568700" y="9105900"/>
          <a:ext cx="2628900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the put becomes more in-the-money, the put delta moves in tandem with the underlying stock price.</a:t>
          </a:r>
        </a:p>
      </xdr:txBody>
    </xdr:sp>
    <xdr:clientData/>
  </xdr:twoCellAnchor>
  <xdr:twoCellAnchor>
    <xdr:from>
      <xdr:col>7</xdr:col>
      <xdr:colOff>552450</xdr:colOff>
      <xdr:row>48</xdr:row>
      <xdr:rowOff>127000</xdr:rowOff>
    </xdr:from>
    <xdr:to>
      <xdr:col>12</xdr:col>
      <xdr:colOff>44450</xdr:colOff>
      <xdr:row>63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634AD8-0F9E-6B98-2F59-AE27A83E6B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1066800</xdr:colOff>
      <xdr:row>63</xdr:row>
      <xdr:rowOff>139700</xdr:rowOff>
    </xdr:from>
    <xdr:to>
      <xdr:col>10</xdr:col>
      <xdr:colOff>406400</xdr:colOff>
      <xdr:row>70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164287E-071A-063C-49F3-5480177E3971}"/>
            </a:ext>
          </a:extLst>
        </xdr:cNvPr>
        <xdr:cNvSpPr txBox="1"/>
      </xdr:nvSpPr>
      <xdr:spPr>
        <a:xfrm>
          <a:off x="9525000" y="12141200"/>
          <a:ext cx="483870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</a:t>
          </a:r>
          <a:r>
            <a:rPr lang="en-US" sz="1100" baseline="0"/>
            <a:t> the put option's time to maturity T increases, the delta of the in-the-money decreases, while the deltas of the at the-money and out-of-money increase. 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A857B07-FF07-4743-800A-FD86D4AED384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Price" tableColumnId="2"/>
      <queryTableField id="3" name="Open" tableColumnId="3"/>
      <queryTableField id="4" name="High" tableColumnId="4"/>
      <queryTableField id="5" name="Low" tableColumnId="5"/>
      <queryTableField id="6" name="Vol." tableColumnId="6"/>
      <queryTableField id="7" name="Change %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E1AF7152-3C19-6E49-AD49-99C3C1019AF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Price" tableColumnId="2"/>
      <queryTableField id="3" name="Open" tableColumnId="3"/>
      <queryTableField id="4" name="High" tableColumnId="4"/>
      <queryTableField id="5" name="Low" tableColumnId="5"/>
      <queryTableField id="6" name="Vol." tableColumnId="6"/>
      <queryTableField id="7" name="Change %" tableColumnId="7"/>
      <queryTableField id="8" dataBound="0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2FFD70D-F326-0249-87FB-38D50E8EAE38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Price" tableColumnId="2"/>
      <queryTableField id="3" name="Open" tableColumnId="3"/>
      <queryTableField id="4" name="High" tableColumnId="4"/>
      <queryTableField id="5" name="Low" tableColumnId="5"/>
      <queryTableField id="6" name="Vol." tableColumnId="6"/>
      <queryTableField id="7" name="Change %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0BCE46-28F3-7048-BE59-FA190F31AA9F}" name="NVIDIA_Stock_Price_History__2" displayName="NVIDIA_Stock_Price_History__2" ref="A1:H65" tableType="queryTable" totalsRowShown="0">
  <autoFilter ref="A1:H65" xr:uid="{C60BCE46-28F3-7048-BE59-FA190F31AA9F}"/>
  <sortState xmlns:xlrd2="http://schemas.microsoft.com/office/spreadsheetml/2017/richdata2" ref="A2:H65">
    <sortCondition ref="A1:A65"/>
  </sortState>
  <tableColumns count="8">
    <tableColumn id="1" xr3:uid="{04F9DBEC-D507-1246-8574-A62BE434E810}" uniqueName="1" name="Date" queryTableFieldId="1" dataDxfId="8"/>
    <tableColumn id="2" xr3:uid="{78D8CEE8-E868-B14F-8979-ED6AD26A870C}" uniqueName="2" name="Price" queryTableFieldId="2" dataCellStyle="Currency"/>
    <tableColumn id="3" xr3:uid="{AFEF5D7F-A450-CE4A-9CE4-A78568022F76}" uniqueName="3" name="Open" queryTableFieldId="3" dataCellStyle="Currency"/>
    <tableColumn id="4" xr3:uid="{520C7E7A-ABE0-804A-9689-786A340E7F69}" uniqueName="4" name="High" queryTableFieldId="4" dataCellStyle="Currency"/>
    <tableColumn id="5" xr3:uid="{67CB11B2-4A84-7048-8862-7474E2E3D0D0}" uniqueName="5" name="Low" queryTableFieldId="5" dataCellStyle="Currency"/>
    <tableColumn id="6" xr3:uid="{92233531-6491-4F40-BC0A-6BB51B719990}" uniqueName="6" name="Vol." queryTableFieldId="6" dataDxfId="7"/>
    <tableColumn id="7" xr3:uid="{ED8BD3FB-3EFC-9B42-98AE-EE82AA69C1A7}" uniqueName="7" name="Change %" queryTableFieldId="7"/>
    <tableColumn id="8" xr3:uid="{B0FA2847-98CA-5A44-9545-D62B2F1F2F85}" uniqueName="8" name="Simple Holding Period Return (HPR)" queryTableFieldId="8" dataDxfId="6" dataCellStyle="Percent">
      <calculatedColumnFormula>(NVIDIA_Stock_Price_History__2[[#This Row],[Price]]-NVIDIA_Stock_Price_History__2[[#This Row],[Open]])/NVIDIA_Stock_Price_History__2[[#This Row],[Open]]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D64D8F1-5B54-8A45-9085-8C048E7DEE4B}" name="JPMorgan_Stock_Price_History__2" displayName="JPMorgan_Stock_Price_History__2" ref="A1:H65" tableType="queryTable" totalsRowShown="0">
  <autoFilter ref="A1:H65" xr:uid="{1D64D8F1-5B54-8A45-9085-8C048E7DEE4B}"/>
  <sortState xmlns:xlrd2="http://schemas.microsoft.com/office/spreadsheetml/2017/richdata2" ref="A2:H65">
    <sortCondition ref="A1:A65"/>
  </sortState>
  <tableColumns count="8">
    <tableColumn id="1" xr3:uid="{3C8B34B8-595C-BA40-80C7-AE6832A3438A}" uniqueName="1" name="Date" queryTableFieldId="1" dataDxfId="5"/>
    <tableColumn id="2" xr3:uid="{A8B6064E-DE9F-6843-82D5-D053F98F779F}" uniqueName="2" name="Price" queryTableFieldId="2" dataCellStyle="Currency"/>
    <tableColumn id="3" xr3:uid="{F41B880C-18C8-B646-8546-EB267C62ED83}" uniqueName="3" name="Open" queryTableFieldId="3" dataCellStyle="Currency"/>
    <tableColumn id="4" xr3:uid="{61856208-710C-424F-91C0-C784C6A03359}" uniqueName="4" name="High" queryTableFieldId="4" dataCellStyle="Currency"/>
    <tableColumn id="5" xr3:uid="{8569BF65-A060-674E-8FFD-A0410F4D8380}" uniqueName="5" name="Low" queryTableFieldId="5" dataCellStyle="Currency"/>
    <tableColumn id="6" xr3:uid="{E52403A9-A81A-0D4B-993E-279102CEB9CB}" uniqueName="6" name="Vol." queryTableFieldId="6" dataDxfId="4"/>
    <tableColumn id="7" xr3:uid="{07B8C717-6156-6948-8A14-8E6F495B90E3}" uniqueName="7" name="Change %" queryTableFieldId="7"/>
    <tableColumn id="8" xr3:uid="{9539F679-4FA5-984B-ADE2-7FA3FCEF78F1}" uniqueName="8" name="Simple Holding Period Return (HPR)" queryTableFieldId="8" dataDxfId="3">
      <calculatedColumnFormula>(JPMorgan_Stock_Price_History__2[[#This Row],[Price]]-JPMorgan_Stock_Price_History__2[[#This Row],[Open]])/JPMorgan_Stock_Price_History__2[[#This Row],[Open]]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367FDC-0F97-284D-809D-A8EBD440EB0C}" name="J_J_Stock_Price_History__2" displayName="J_J_Stock_Price_History__2" ref="A1:H65" tableType="queryTable" totalsRowShown="0">
  <autoFilter ref="A1:H65" xr:uid="{BB367FDC-0F97-284D-809D-A8EBD440EB0C}"/>
  <sortState xmlns:xlrd2="http://schemas.microsoft.com/office/spreadsheetml/2017/richdata2" ref="A2:H65">
    <sortCondition ref="A1:A65"/>
  </sortState>
  <tableColumns count="8">
    <tableColumn id="1" xr3:uid="{DC2C617A-853F-2543-8A56-4A2740627FD9}" uniqueName="1" name="Date" queryTableFieldId="1" dataDxfId="2"/>
    <tableColumn id="2" xr3:uid="{1ED02490-7744-DD41-94EA-C07551B6031C}" uniqueName="2" name="Price" queryTableFieldId="2" dataCellStyle="Currency"/>
    <tableColumn id="3" xr3:uid="{4E236EBF-FE6C-DB44-A3CC-55DD1CBF8D7E}" uniqueName="3" name="Open" queryTableFieldId="3" dataCellStyle="Currency"/>
    <tableColumn id="4" xr3:uid="{5CE22A29-BFAD-5E4E-B176-B2C49548B495}" uniqueName="4" name="High" queryTableFieldId="4" dataCellStyle="Currency"/>
    <tableColumn id="5" xr3:uid="{E08E1D83-6024-5842-BD30-43652B7903E6}" uniqueName="5" name="Low" queryTableFieldId="5" dataCellStyle="Currency"/>
    <tableColumn id="6" xr3:uid="{6A9F4C7B-4452-C04D-877E-FE21E9CCADC3}" uniqueName="6" name="Vol." queryTableFieldId="6" dataDxfId="1"/>
    <tableColumn id="7" xr3:uid="{8FA94824-FC0E-F14A-9835-9B356EAB9AA7}" uniqueName="7" name="Change %" queryTableFieldId="7"/>
    <tableColumn id="8" xr3:uid="{A668C806-7A82-E247-B39A-7DFC42AB4365}" uniqueName="8" name="Simple Holding Period Return (HPR)" queryTableFieldId="8" dataDxfId="0" dataCellStyle="Percent">
      <calculatedColumnFormula>(J_J_Stock_Price_History__2[[#This Row],[Price]]-J_J_Stock_Price_History__2[[#This Row],[Open]])/J_J_Stock_Price_History__2[[#This Row],[Open]]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uk.finance.yahoo.com/quote/NVDA260918P00215000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finance.yahoo.com/quote/NVDA/?guccounter=1&amp;guce_referrer=aHR0cHM6Ly93d3cuZ29vZ2xlLmNvbS8&amp;guce_referrer_sig=AQAAAIXHnivqLQ--_dtaAO1EEt0D2BoUgcSJWi8-7bOEfJEWNe-jaoohXk-9uR6a0v5T9xWBW26eb6Nyk3E1_n_aFuz5EK3WwAqpHU06FGZV67HLKSdkMZ7EEAeG4eYoZvdD4oBpGaXXH5yI64GHqOgZ9QMQDsDCqezzzSx_HrcI2JJ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A0066-473D-5B4F-8612-F25E77C25136}">
  <sheetPr codeName="Sheet1"/>
  <dimension ref="A1:H65"/>
  <sheetViews>
    <sheetView workbookViewId="0">
      <selection activeCell="B2" sqref="B2"/>
    </sheetView>
  </sheetViews>
  <sheetFormatPr baseColWidth="10" defaultColWidth="11.5" defaultRowHeight="15" x14ac:dyDescent="0.2"/>
  <cols>
    <col min="1" max="1" width="10.5" bestFit="1" customWidth="1"/>
    <col min="2" max="5" width="9.1640625" bestFit="1" customWidth="1"/>
    <col min="6" max="6" width="7.1640625" bestFit="1" customWidth="1"/>
    <col min="7" max="7" width="12" bestFit="1" customWidth="1"/>
    <col min="8" max="8" width="35.832031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s="1">
        <v>44197</v>
      </c>
      <c r="B2" s="5">
        <v>12.99</v>
      </c>
      <c r="C2" s="5">
        <v>13.1</v>
      </c>
      <c r="D2" s="5">
        <v>14</v>
      </c>
      <c r="E2" s="5">
        <v>12.59</v>
      </c>
      <c r="F2" t="s">
        <v>8</v>
      </c>
      <c r="G2">
        <v>-5.0000000000000001E-3</v>
      </c>
      <c r="H2" s="4">
        <f>(NVIDIA_Stock_Price_History__2[[#This Row],[Price]]-NVIDIA_Stock_Price_History__2[[#This Row],[Open]])/NVIDIA_Stock_Price_History__2[[#This Row],[Open]]</f>
        <v>-8.3969465648854533E-3</v>
      </c>
    </row>
    <row r="3" spans="1:8" x14ac:dyDescent="0.2">
      <c r="A3" s="1">
        <v>44228</v>
      </c>
      <c r="B3" s="5">
        <v>13.71</v>
      </c>
      <c r="C3" s="5">
        <v>13.05</v>
      </c>
      <c r="D3" s="5">
        <v>15.37</v>
      </c>
      <c r="E3" s="5">
        <v>12.9</v>
      </c>
      <c r="F3" t="s">
        <v>9</v>
      </c>
      <c r="G3">
        <v>5.5800000000000002E-2</v>
      </c>
      <c r="H3" s="4">
        <f>(NVIDIA_Stock_Price_History__2[[#This Row],[Price]]-NVIDIA_Stock_Price_History__2[[#This Row],[Open]])/NVIDIA_Stock_Price_History__2[[#This Row],[Open]]</f>
        <v>5.0574712643678167E-2</v>
      </c>
    </row>
    <row r="4" spans="1:8" x14ac:dyDescent="0.2">
      <c r="A4" s="1">
        <v>44256</v>
      </c>
      <c r="B4" s="5">
        <v>13.35</v>
      </c>
      <c r="C4" s="5">
        <v>13.88</v>
      </c>
      <c r="D4" s="5">
        <v>13.93</v>
      </c>
      <c r="E4" s="5">
        <v>11.57</v>
      </c>
      <c r="F4" t="s">
        <v>10</v>
      </c>
      <c r="G4">
        <v>-2.6700000000000002E-2</v>
      </c>
      <c r="H4" s="4">
        <f>(NVIDIA_Stock_Price_History__2[[#This Row],[Price]]-NVIDIA_Stock_Price_History__2[[#This Row],[Open]])/NVIDIA_Stock_Price_History__2[[#This Row],[Open]]</f>
        <v>-3.8184438040345901E-2</v>
      </c>
    </row>
    <row r="5" spans="1:8" x14ac:dyDescent="0.2">
      <c r="A5" s="1">
        <v>44287</v>
      </c>
      <c r="B5" s="5">
        <v>15.01</v>
      </c>
      <c r="C5" s="5">
        <v>13.57</v>
      </c>
      <c r="D5" s="5">
        <v>16.21</v>
      </c>
      <c r="E5" s="5">
        <v>13.51</v>
      </c>
      <c r="F5" t="s">
        <v>11</v>
      </c>
      <c r="G5">
        <v>0.1245</v>
      </c>
      <c r="H5" s="4">
        <f>(NVIDIA_Stock_Price_History__2[[#This Row],[Price]]-NVIDIA_Stock_Price_History__2[[#This Row],[Open]])/NVIDIA_Stock_Price_History__2[[#This Row],[Open]]</f>
        <v>0.10611643330876931</v>
      </c>
    </row>
    <row r="6" spans="1:8" x14ac:dyDescent="0.2">
      <c r="A6" s="1">
        <v>44317</v>
      </c>
      <c r="B6" s="5">
        <v>16.239999999999998</v>
      </c>
      <c r="C6" s="5">
        <v>15.13</v>
      </c>
      <c r="D6" s="5">
        <v>16.28</v>
      </c>
      <c r="E6" s="5">
        <v>13.46</v>
      </c>
      <c r="F6" t="s">
        <v>12</v>
      </c>
      <c r="G6">
        <v>8.2299999999999998E-2</v>
      </c>
      <c r="H6" s="4">
        <f>(NVIDIA_Stock_Price_History__2[[#This Row],[Price]]-NVIDIA_Stock_Price_History__2[[#This Row],[Open]])/NVIDIA_Stock_Price_History__2[[#This Row],[Open]]</f>
        <v>7.3364177131526612E-2</v>
      </c>
    </row>
    <row r="7" spans="1:8" x14ac:dyDescent="0.2">
      <c r="A7" s="1">
        <v>44348</v>
      </c>
      <c r="B7" s="5">
        <v>20</v>
      </c>
      <c r="C7" s="5">
        <v>16.27</v>
      </c>
      <c r="D7" s="5">
        <v>20.16</v>
      </c>
      <c r="E7" s="5">
        <v>15.9</v>
      </c>
      <c r="F7" t="s">
        <v>13</v>
      </c>
      <c r="G7">
        <v>0.23130000000000001</v>
      </c>
      <c r="H7" s="4">
        <f>(NVIDIA_Stock_Price_History__2[[#This Row],[Price]]-NVIDIA_Stock_Price_History__2[[#This Row],[Open]])/NVIDIA_Stock_Price_History__2[[#This Row],[Open]]</f>
        <v>0.22925629993853722</v>
      </c>
    </row>
    <row r="8" spans="1:8" x14ac:dyDescent="0.2">
      <c r="A8" s="1">
        <v>44378</v>
      </c>
      <c r="B8" s="5">
        <v>19.5</v>
      </c>
      <c r="C8" s="5">
        <v>20.13</v>
      </c>
      <c r="D8" s="5">
        <v>20.88</v>
      </c>
      <c r="E8" s="5">
        <v>17.87</v>
      </c>
      <c r="F8" t="s">
        <v>14</v>
      </c>
      <c r="G8">
        <v>-2.52E-2</v>
      </c>
      <c r="H8" s="4">
        <f>(NVIDIA_Stock_Price_History__2[[#This Row],[Price]]-NVIDIA_Stock_Price_History__2[[#This Row],[Open]])/NVIDIA_Stock_Price_History__2[[#This Row],[Open]]</f>
        <v>-3.1296572280178792E-2</v>
      </c>
    </row>
    <row r="9" spans="1:8" x14ac:dyDescent="0.2">
      <c r="A9" s="1">
        <v>44409</v>
      </c>
      <c r="B9" s="5">
        <v>22.39</v>
      </c>
      <c r="C9" s="5">
        <v>19.7</v>
      </c>
      <c r="D9" s="5">
        <v>23.04</v>
      </c>
      <c r="E9" s="5">
        <v>18.760000000000002</v>
      </c>
      <c r="F9" t="s">
        <v>15</v>
      </c>
      <c r="G9">
        <v>0.14799999999999999</v>
      </c>
      <c r="H9" s="4">
        <f>(NVIDIA_Stock_Price_History__2[[#This Row],[Price]]-NVIDIA_Stock_Price_History__2[[#This Row],[Open]])/NVIDIA_Stock_Price_History__2[[#This Row],[Open]]</f>
        <v>0.13654822335025388</v>
      </c>
    </row>
    <row r="10" spans="1:8" x14ac:dyDescent="0.2">
      <c r="A10" s="1">
        <v>44440</v>
      </c>
      <c r="B10" s="5">
        <v>20.72</v>
      </c>
      <c r="C10" s="5">
        <v>22.49</v>
      </c>
      <c r="D10" s="5">
        <v>22.99</v>
      </c>
      <c r="E10" s="5">
        <v>20.47</v>
      </c>
      <c r="F10" t="s">
        <v>16</v>
      </c>
      <c r="G10">
        <v>-7.46E-2</v>
      </c>
      <c r="H10" s="4">
        <f>(NVIDIA_Stock_Price_History__2[[#This Row],[Price]]-NVIDIA_Stock_Price_History__2[[#This Row],[Open]])/NVIDIA_Stock_Price_History__2[[#This Row],[Open]]</f>
        <v>-7.8701645175633606E-2</v>
      </c>
    </row>
    <row r="11" spans="1:8" x14ac:dyDescent="0.2">
      <c r="A11" s="1">
        <v>44470</v>
      </c>
      <c r="B11" s="5">
        <v>25.57</v>
      </c>
      <c r="C11" s="5">
        <v>20.75</v>
      </c>
      <c r="D11" s="5">
        <v>25.71</v>
      </c>
      <c r="E11" s="5">
        <v>19.559999999999999</v>
      </c>
      <c r="F11" t="s">
        <v>17</v>
      </c>
      <c r="G11">
        <v>0.23419999999999999</v>
      </c>
      <c r="H11" s="4">
        <f>(NVIDIA_Stock_Price_History__2[[#This Row],[Price]]-NVIDIA_Stock_Price_History__2[[#This Row],[Open]])/NVIDIA_Stock_Price_History__2[[#This Row],[Open]]</f>
        <v>0.23228915662650604</v>
      </c>
    </row>
    <row r="12" spans="1:8" x14ac:dyDescent="0.2">
      <c r="A12" s="1">
        <v>44501</v>
      </c>
      <c r="B12" s="5">
        <v>32.68</v>
      </c>
      <c r="C12" s="5">
        <v>25.65</v>
      </c>
      <c r="D12" s="5">
        <v>34.65</v>
      </c>
      <c r="E12" s="5">
        <v>25.23</v>
      </c>
      <c r="F12" t="s">
        <v>18</v>
      </c>
      <c r="G12">
        <v>0.27810000000000001</v>
      </c>
      <c r="H12" s="4">
        <f>(NVIDIA_Stock_Price_History__2[[#This Row],[Price]]-NVIDIA_Stock_Price_History__2[[#This Row],[Open]])/NVIDIA_Stock_Price_History__2[[#This Row],[Open]]</f>
        <v>0.27407407407407414</v>
      </c>
    </row>
    <row r="13" spans="1:8" x14ac:dyDescent="0.2">
      <c r="A13" s="1">
        <v>44531</v>
      </c>
      <c r="B13" s="5">
        <v>29.41</v>
      </c>
      <c r="C13" s="5">
        <v>33.22</v>
      </c>
      <c r="D13" s="5">
        <v>33.29</v>
      </c>
      <c r="E13" s="5">
        <v>27.15</v>
      </c>
      <c r="F13" t="s">
        <v>19</v>
      </c>
      <c r="G13">
        <v>-9.9900000000000003E-2</v>
      </c>
      <c r="H13" s="4">
        <f>(NVIDIA_Stock_Price_History__2[[#This Row],[Price]]-NVIDIA_Stock_Price_History__2[[#This Row],[Open]])/NVIDIA_Stock_Price_History__2[[#This Row],[Open]]</f>
        <v>-0.11468994581577359</v>
      </c>
    </row>
    <row r="14" spans="1:8" x14ac:dyDescent="0.2">
      <c r="A14" s="1">
        <v>44562</v>
      </c>
      <c r="B14" s="5">
        <v>24.49</v>
      </c>
      <c r="C14" s="5">
        <v>29.82</v>
      </c>
      <c r="D14" s="5">
        <v>30.71</v>
      </c>
      <c r="E14" s="5">
        <v>20.89</v>
      </c>
      <c r="F14" t="s">
        <v>20</v>
      </c>
      <c r="G14">
        <v>-0.16750000000000001</v>
      </c>
      <c r="H14" s="4">
        <f>(NVIDIA_Stock_Price_History__2[[#This Row],[Price]]-NVIDIA_Stock_Price_History__2[[#This Row],[Open]])/NVIDIA_Stock_Price_History__2[[#This Row],[Open]]</f>
        <v>-0.17873910127431261</v>
      </c>
    </row>
    <row r="15" spans="1:8" x14ac:dyDescent="0.2">
      <c r="A15" s="1">
        <v>44593</v>
      </c>
      <c r="B15" s="5">
        <v>24.39</v>
      </c>
      <c r="C15" s="5">
        <v>25.1</v>
      </c>
      <c r="D15" s="5">
        <v>26.92</v>
      </c>
      <c r="E15" s="5">
        <v>20.89</v>
      </c>
      <c r="F15" t="s">
        <v>21</v>
      </c>
      <c r="G15">
        <v>-4.1000000000000003E-3</v>
      </c>
      <c r="H15" s="4">
        <f>(NVIDIA_Stock_Price_History__2[[#This Row],[Price]]-NVIDIA_Stock_Price_History__2[[#This Row],[Open]])/NVIDIA_Stock_Price_History__2[[#This Row],[Open]]</f>
        <v>-2.8286852589641465E-2</v>
      </c>
    </row>
    <row r="16" spans="1:8" x14ac:dyDescent="0.2">
      <c r="A16" s="1">
        <v>44621</v>
      </c>
      <c r="B16" s="5">
        <v>27.29</v>
      </c>
      <c r="C16" s="5">
        <v>24.29</v>
      </c>
      <c r="D16" s="5">
        <v>28.95</v>
      </c>
      <c r="E16" s="5">
        <v>20.65</v>
      </c>
      <c r="F16" t="s">
        <v>22</v>
      </c>
      <c r="G16">
        <v>0.11899999999999999</v>
      </c>
      <c r="H16" s="4">
        <f>(NVIDIA_Stock_Price_History__2[[#This Row],[Price]]-NVIDIA_Stock_Price_History__2[[#This Row],[Open]])/NVIDIA_Stock_Price_History__2[[#This Row],[Open]]</f>
        <v>0.12350761630300536</v>
      </c>
    </row>
    <row r="17" spans="1:8" x14ac:dyDescent="0.2">
      <c r="A17" s="1">
        <v>44652</v>
      </c>
      <c r="B17" s="5">
        <v>18.55</v>
      </c>
      <c r="C17" s="5">
        <v>27.38</v>
      </c>
      <c r="D17" s="5">
        <v>27.56</v>
      </c>
      <c r="E17" s="5">
        <v>18.29</v>
      </c>
      <c r="F17" t="s">
        <v>23</v>
      </c>
      <c r="G17">
        <v>-0.32029999999999997</v>
      </c>
      <c r="H17" s="4">
        <f>(NVIDIA_Stock_Price_History__2[[#This Row],[Price]]-NVIDIA_Stock_Price_History__2[[#This Row],[Open]])/NVIDIA_Stock_Price_History__2[[#This Row],[Open]]</f>
        <v>-0.32249817384952517</v>
      </c>
    </row>
    <row r="18" spans="1:8" x14ac:dyDescent="0.2">
      <c r="A18" s="1">
        <v>44682</v>
      </c>
      <c r="B18" s="5">
        <v>18.670000000000002</v>
      </c>
      <c r="C18" s="5">
        <v>18.54</v>
      </c>
      <c r="D18" s="5">
        <v>20.399999999999999</v>
      </c>
      <c r="E18" s="5">
        <v>15.57</v>
      </c>
      <c r="F18" t="s">
        <v>24</v>
      </c>
      <c r="G18">
        <v>6.7000000000000002E-3</v>
      </c>
      <c r="H18" s="4">
        <f>(NVIDIA_Stock_Price_History__2[[#This Row],[Price]]-NVIDIA_Stock_Price_History__2[[#This Row],[Open]])/NVIDIA_Stock_Price_History__2[[#This Row],[Open]]</f>
        <v>7.0118662351673442E-3</v>
      </c>
    </row>
    <row r="19" spans="1:8" x14ac:dyDescent="0.2">
      <c r="A19" s="1">
        <v>44713</v>
      </c>
      <c r="B19" s="5">
        <v>15.16</v>
      </c>
      <c r="C19" s="5">
        <v>18.72</v>
      </c>
      <c r="D19" s="5">
        <v>19.62</v>
      </c>
      <c r="E19" s="5">
        <v>14.86</v>
      </c>
      <c r="F19" t="s">
        <v>25</v>
      </c>
      <c r="G19">
        <v>-0.18809999999999999</v>
      </c>
      <c r="H19" s="4">
        <f>(NVIDIA_Stock_Price_History__2[[#This Row],[Price]]-NVIDIA_Stock_Price_History__2[[#This Row],[Open]])/NVIDIA_Stock_Price_History__2[[#This Row],[Open]]</f>
        <v>-0.19017094017094011</v>
      </c>
    </row>
    <row r="20" spans="1:8" x14ac:dyDescent="0.2">
      <c r="A20" s="1">
        <v>44743</v>
      </c>
      <c r="B20" s="5">
        <v>18.16</v>
      </c>
      <c r="C20" s="5">
        <v>14.9</v>
      </c>
      <c r="D20" s="5">
        <v>18.239999999999998</v>
      </c>
      <c r="E20" s="5">
        <v>14.06</v>
      </c>
      <c r="F20" t="s">
        <v>26</v>
      </c>
      <c r="G20">
        <v>0.19819999999999999</v>
      </c>
      <c r="H20" s="4">
        <f>(NVIDIA_Stock_Price_History__2[[#This Row],[Price]]-NVIDIA_Stock_Price_History__2[[#This Row],[Open]])/NVIDIA_Stock_Price_History__2[[#This Row],[Open]]</f>
        <v>0.21879194630872481</v>
      </c>
    </row>
    <row r="21" spans="1:8" x14ac:dyDescent="0.2">
      <c r="A21" s="1">
        <v>44774</v>
      </c>
      <c r="B21" s="5">
        <v>15.09</v>
      </c>
      <c r="C21" s="5">
        <v>18.18</v>
      </c>
      <c r="D21" s="5">
        <v>19.27</v>
      </c>
      <c r="E21" s="5">
        <v>14.96</v>
      </c>
      <c r="F21" t="s">
        <v>27</v>
      </c>
      <c r="G21">
        <v>-0.16900000000000001</v>
      </c>
      <c r="H21" s="4">
        <f>(NVIDIA_Stock_Price_History__2[[#This Row],[Price]]-NVIDIA_Stock_Price_History__2[[#This Row],[Open]])/NVIDIA_Stock_Price_History__2[[#This Row],[Open]]</f>
        <v>-0.16996699669966997</v>
      </c>
    </row>
    <row r="22" spans="1:8" x14ac:dyDescent="0.2">
      <c r="A22" s="1">
        <v>44805</v>
      </c>
      <c r="B22" s="5">
        <v>12.14</v>
      </c>
      <c r="C22" s="5">
        <v>14.21</v>
      </c>
      <c r="D22" s="5">
        <v>14.55</v>
      </c>
      <c r="E22" s="5">
        <v>11.95</v>
      </c>
      <c r="F22" t="s">
        <v>28</v>
      </c>
      <c r="G22">
        <v>-0.1958</v>
      </c>
      <c r="H22" s="4">
        <f>(NVIDIA_Stock_Price_History__2[[#This Row],[Price]]-NVIDIA_Stock_Price_History__2[[#This Row],[Open]])/NVIDIA_Stock_Price_History__2[[#This Row],[Open]]</f>
        <v>-0.14567206192821958</v>
      </c>
    </row>
    <row r="23" spans="1:8" x14ac:dyDescent="0.2">
      <c r="A23" s="1">
        <v>44835</v>
      </c>
      <c r="B23" s="5">
        <v>13.5</v>
      </c>
      <c r="C23" s="5">
        <v>12.35</v>
      </c>
      <c r="D23" s="5">
        <v>13.85</v>
      </c>
      <c r="E23" s="5">
        <v>10.81</v>
      </c>
      <c r="F23" t="s">
        <v>29</v>
      </c>
      <c r="G23">
        <v>0.1119</v>
      </c>
      <c r="H23" s="4">
        <f>(NVIDIA_Stock_Price_History__2[[#This Row],[Price]]-NVIDIA_Stock_Price_History__2[[#This Row],[Open]])/NVIDIA_Stock_Price_History__2[[#This Row],[Open]]</f>
        <v>9.3117408906882623E-2</v>
      </c>
    </row>
    <row r="24" spans="1:8" x14ac:dyDescent="0.2">
      <c r="A24" s="1">
        <v>44866</v>
      </c>
      <c r="B24" s="5">
        <v>16.920000000000002</v>
      </c>
      <c r="C24" s="5">
        <v>13.81</v>
      </c>
      <c r="D24" s="5">
        <v>17</v>
      </c>
      <c r="E24" s="5">
        <v>12.96</v>
      </c>
      <c r="F24" t="s">
        <v>30</v>
      </c>
      <c r="G24">
        <v>0.25380000000000003</v>
      </c>
      <c r="H24" s="4">
        <f>(NVIDIA_Stock_Price_History__2[[#This Row],[Price]]-NVIDIA_Stock_Price_History__2[[#This Row],[Open]])/NVIDIA_Stock_Price_History__2[[#This Row],[Open]]</f>
        <v>0.22519913106444614</v>
      </c>
    </row>
    <row r="25" spans="1:8" x14ac:dyDescent="0.2">
      <c r="A25" s="1">
        <v>44896</v>
      </c>
      <c r="B25" s="5">
        <v>14.61</v>
      </c>
      <c r="C25" s="5">
        <v>17</v>
      </c>
      <c r="D25" s="5">
        <v>18.79</v>
      </c>
      <c r="E25" s="5">
        <v>13.88</v>
      </c>
      <c r="F25" t="s">
        <v>31</v>
      </c>
      <c r="G25">
        <v>-0.13639999999999999</v>
      </c>
      <c r="H25" s="4">
        <f>(NVIDIA_Stock_Price_History__2[[#This Row],[Price]]-NVIDIA_Stock_Price_History__2[[#This Row],[Open]])/NVIDIA_Stock_Price_History__2[[#This Row],[Open]]</f>
        <v>-0.14058823529411768</v>
      </c>
    </row>
    <row r="26" spans="1:8" x14ac:dyDescent="0.2">
      <c r="A26" s="1">
        <v>44927</v>
      </c>
      <c r="B26" s="5">
        <v>19.54</v>
      </c>
      <c r="C26" s="5">
        <v>14.85</v>
      </c>
      <c r="D26" s="5">
        <v>20.63</v>
      </c>
      <c r="E26" s="5">
        <v>14.03</v>
      </c>
      <c r="F26" t="s">
        <v>32</v>
      </c>
      <c r="G26">
        <v>0.33689999999999998</v>
      </c>
      <c r="H26" s="4">
        <f>(NVIDIA_Stock_Price_History__2[[#This Row],[Price]]-NVIDIA_Stock_Price_History__2[[#This Row],[Open]])/NVIDIA_Stock_Price_History__2[[#This Row],[Open]]</f>
        <v>0.31582491582491579</v>
      </c>
    </row>
    <row r="27" spans="1:8" x14ac:dyDescent="0.2">
      <c r="A27" s="1">
        <v>44958</v>
      </c>
      <c r="B27" s="5">
        <v>23.22</v>
      </c>
      <c r="C27" s="5">
        <v>19.690000000000001</v>
      </c>
      <c r="D27" s="5">
        <v>23.89</v>
      </c>
      <c r="E27" s="5">
        <v>19.61</v>
      </c>
      <c r="F27" t="s">
        <v>33</v>
      </c>
      <c r="G27">
        <v>0.1883</v>
      </c>
      <c r="H27" s="4">
        <f>(NVIDIA_Stock_Price_History__2[[#This Row],[Price]]-NVIDIA_Stock_Price_History__2[[#This Row],[Open]])/NVIDIA_Stock_Price_History__2[[#This Row],[Open]]</f>
        <v>0.17927882173692217</v>
      </c>
    </row>
    <row r="28" spans="1:8" x14ac:dyDescent="0.2">
      <c r="A28" s="1">
        <v>44986</v>
      </c>
      <c r="B28" s="5">
        <v>27.78</v>
      </c>
      <c r="C28" s="5">
        <v>23.19</v>
      </c>
      <c r="D28" s="5">
        <v>27.83</v>
      </c>
      <c r="E28" s="5">
        <v>22.3</v>
      </c>
      <c r="F28" t="s">
        <v>34</v>
      </c>
      <c r="G28">
        <v>0.19650000000000001</v>
      </c>
      <c r="H28" s="4">
        <f>(NVIDIA_Stock_Price_History__2[[#This Row],[Price]]-NVIDIA_Stock_Price_History__2[[#This Row],[Open]])/NVIDIA_Stock_Price_History__2[[#This Row],[Open]]</f>
        <v>0.19793014230271666</v>
      </c>
    </row>
    <row r="29" spans="1:8" x14ac:dyDescent="0.2">
      <c r="A29" s="1">
        <v>45017</v>
      </c>
      <c r="B29" s="5">
        <v>27.75</v>
      </c>
      <c r="C29" s="5">
        <v>27.51</v>
      </c>
      <c r="D29" s="5">
        <v>28.11</v>
      </c>
      <c r="E29" s="5">
        <v>26.22</v>
      </c>
      <c r="F29" t="s">
        <v>35</v>
      </c>
      <c r="G29">
        <v>-1E-3</v>
      </c>
      <c r="H29" s="4">
        <f>(NVIDIA_Stock_Price_History__2[[#This Row],[Price]]-NVIDIA_Stock_Price_History__2[[#This Row],[Open]])/NVIDIA_Stock_Price_History__2[[#This Row],[Open]]</f>
        <v>8.7241003271537054E-3</v>
      </c>
    </row>
    <row r="30" spans="1:8" x14ac:dyDescent="0.2">
      <c r="A30" s="1">
        <v>45047</v>
      </c>
      <c r="B30" s="5">
        <v>37.83</v>
      </c>
      <c r="C30" s="5">
        <v>27.84</v>
      </c>
      <c r="D30" s="5">
        <v>41.94</v>
      </c>
      <c r="E30" s="5">
        <v>27.24</v>
      </c>
      <c r="F30" t="s">
        <v>36</v>
      </c>
      <c r="G30">
        <v>0.3634</v>
      </c>
      <c r="H30" s="4">
        <f>(NVIDIA_Stock_Price_History__2[[#This Row],[Price]]-NVIDIA_Stock_Price_History__2[[#This Row],[Open]])/NVIDIA_Stock_Price_History__2[[#This Row],[Open]]</f>
        <v>0.35883620689655166</v>
      </c>
    </row>
    <row r="31" spans="1:8" x14ac:dyDescent="0.2">
      <c r="A31" s="1">
        <v>45078</v>
      </c>
      <c r="B31" s="5">
        <v>42.3</v>
      </c>
      <c r="C31" s="5">
        <v>38.49</v>
      </c>
      <c r="D31" s="5">
        <v>43.99</v>
      </c>
      <c r="E31" s="5">
        <v>37.36</v>
      </c>
      <c r="F31" t="s">
        <v>37</v>
      </c>
      <c r="G31">
        <v>0.1181</v>
      </c>
      <c r="H31" s="4">
        <f>(NVIDIA_Stock_Price_History__2[[#This Row],[Price]]-NVIDIA_Stock_Price_History__2[[#This Row],[Open]])/NVIDIA_Stock_Price_History__2[[#This Row],[Open]]</f>
        <v>9.8986749805144061E-2</v>
      </c>
    </row>
    <row r="32" spans="1:8" x14ac:dyDescent="0.2">
      <c r="A32" s="1">
        <v>45108</v>
      </c>
      <c r="B32" s="5">
        <v>46.73</v>
      </c>
      <c r="C32" s="5">
        <v>42.52</v>
      </c>
      <c r="D32" s="5">
        <v>48.09</v>
      </c>
      <c r="E32" s="5">
        <v>41.35</v>
      </c>
      <c r="F32" t="s">
        <v>38</v>
      </c>
      <c r="G32">
        <v>0.1047</v>
      </c>
      <c r="H32" s="4">
        <f>(NVIDIA_Stock_Price_History__2[[#This Row],[Price]]-NVIDIA_Stock_Price_History__2[[#This Row],[Open]])/NVIDIA_Stock_Price_History__2[[#This Row],[Open]]</f>
        <v>9.9012229539040292E-2</v>
      </c>
    </row>
    <row r="33" spans="1:8" x14ac:dyDescent="0.2">
      <c r="A33" s="1">
        <v>45139</v>
      </c>
      <c r="B33" s="5">
        <v>49.35</v>
      </c>
      <c r="C33" s="5">
        <v>46.46</v>
      </c>
      <c r="D33" s="5">
        <v>50.27</v>
      </c>
      <c r="E33" s="5">
        <v>40.31</v>
      </c>
      <c r="F33" t="s">
        <v>39</v>
      </c>
      <c r="G33">
        <v>5.62E-2</v>
      </c>
      <c r="H33" s="4">
        <f>(NVIDIA_Stock_Price_History__2[[#This Row],[Price]]-NVIDIA_Stock_Price_History__2[[#This Row],[Open]])/NVIDIA_Stock_Price_History__2[[#This Row],[Open]]</f>
        <v>6.2204046491605693E-2</v>
      </c>
    </row>
    <row r="34" spans="1:8" x14ac:dyDescent="0.2">
      <c r="A34" s="1">
        <v>45170</v>
      </c>
      <c r="B34" s="5">
        <v>43.5</v>
      </c>
      <c r="C34" s="5">
        <v>49.76</v>
      </c>
      <c r="D34" s="5">
        <v>49.8</v>
      </c>
      <c r="E34" s="5">
        <v>40.98</v>
      </c>
      <c r="F34" t="s">
        <v>40</v>
      </c>
      <c r="G34">
        <v>-0.1187</v>
      </c>
      <c r="H34" s="4">
        <f>(NVIDIA_Stock_Price_History__2[[#This Row],[Price]]-NVIDIA_Stock_Price_History__2[[#This Row],[Open]])/NVIDIA_Stock_Price_History__2[[#This Row],[Open]]</f>
        <v>-0.12580385852090029</v>
      </c>
    </row>
    <row r="35" spans="1:8" x14ac:dyDescent="0.2">
      <c r="A35" s="1">
        <v>45200</v>
      </c>
      <c r="B35" s="5">
        <v>40.78</v>
      </c>
      <c r="C35" s="5">
        <v>44.03</v>
      </c>
      <c r="D35" s="5">
        <v>47.61</v>
      </c>
      <c r="E35" s="5">
        <v>39.229999999999997</v>
      </c>
      <c r="F35" t="s">
        <v>41</v>
      </c>
      <c r="G35">
        <v>-6.25E-2</v>
      </c>
      <c r="H35" s="4">
        <f>(NVIDIA_Stock_Price_History__2[[#This Row],[Price]]-NVIDIA_Stock_Price_History__2[[#This Row],[Open]])/NVIDIA_Stock_Price_History__2[[#This Row],[Open]]</f>
        <v>-7.3813309107426756E-2</v>
      </c>
    </row>
    <row r="36" spans="1:8" x14ac:dyDescent="0.2">
      <c r="A36" s="1">
        <v>45231</v>
      </c>
      <c r="B36" s="5">
        <v>46.77</v>
      </c>
      <c r="C36" s="5">
        <v>40.880000000000003</v>
      </c>
      <c r="D36" s="5">
        <v>50.55</v>
      </c>
      <c r="E36" s="5">
        <v>40.869999999999997</v>
      </c>
      <c r="F36" t="s">
        <v>42</v>
      </c>
      <c r="G36">
        <v>0.1469</v>
      </c>
      <c r="H36" s="4">
        <f>(NVIDIA_Stock_Price_History__2[[#This Row],[Price]]-NVIDIA_Stock_Price_History__2[[#This Row],[Open]])/NVIDIA_Stock_Price_History__2[[#This Row],[Open]]</f>
        <v>0.1440802348336595</v>
      </c>
    </row>
    <row r="37" spans="1:8" x14ac:dyDescent="0.2">
      <c r="A37" s="1">
        <v>45261</v>
      </c>
      <c r="B37" s="5">
        <v>49.52</v>
      </c>
      <c r="C37" s="5">
        <v>46.53</v>
      </c>
      <c r="D37" s="5">
        <v>50.43</v>
      </c>
      <c r="E37" s="5">
        <v>45.01</v>
      </c>
      <c r="F37" t="s">
        <v>43</v>
      </c>
      <c r="G37">
        <v>5.8799999999999998E-2</v>
      </c>
      <c r="H37" s="4">
        <f>(NVIDIA_Stock_Price_History__2[[#This Row],[Price]]-NVIDIA_Stock_Price_History__2[[#This Row],[Open]])/NVIDIA_Stock_Price_History__2[[#This Row],[Open]]</f>
        <v>6.4259617451106851E-2</v>
      </c>
    </row>
    <row r="38" spans="1:8" x14ac:dyDescent="0.2">
      <c r="A38" s="1">
        <v>45292</v>
      </c>
      <c r="B38" s="5">
        <v>61.53</v>
      </c>
      <c r="C38" s="5">
        <v>49.24</v>
      </c>
      <c r="D38" s="5">
        <v>63.49</v>
      </c>
      <c r="E38" s="5">
        <v>47.32</v>
      </c>
      <c r="F38" t="s">
        <v>44</v>
      </c>
      <c r="G38">
        <v>0.2424</v>
      </c>
      <c r="H38" s="4">
        <f>(NVIDIA_Stock_Price_History__2[[#This Row],[Price]]-NVIDIA_Stock_Price_History__2[[#This Row],[Open]])/NVIDIA_Stock_Price_History__2[[#This Row],[Open]]</f>
        <v>0.24959382615759543</v>
      </c>
    </row>
    <row r="39" spans="1:8" x14ac:dyDescent="0.2">
      <c r="A39" s="1">
        <v>45323</v>
      </c>
      <c r="B39" s="5">
        <v>79.11</v>
      </c>
      <c r="C39" s="5">
        <v>62.1</v>
      </c>
      <c r="D39" s="5">
        <v>82.39</v>
      </c>
      <c r="E39" s="5">
        <v>61.65</v>
      </c>
      <c r="F39" t="s">
        <v>45</v>
      </c>
      <c r="G39">
        <v>0.2858</v>
      </c>
      <c r="H39" s="4">
        <f>(NVIDIA_Stock_Price_History__2[[#This Row],[Price]]-NVIDIA_Stock_Price_History__2[[#This Row],[Open]])/NVIDIA_Stock_Price_History__2[[#This Row],[Open]]</f>
        <v>0.27391304347826084</v>
      </c>
    </row>
    <row r="40" spans="1:8" x14ac:dyDescent="0.2">
      <c r="A40" s="1">
        <v>45352</v>
      </c>
      <c r="B40" s="5">
        <v>90.36</v>
      </c>
      <c r="C40" s="5">
        <v>80</v>
      </c>
      <c r="D40" s="5">
        <v>97.4</v>
      </c>
      <c r="E40" s="5">
        <v>79.44</v>
      </c>
      <c r="F40" t="s">
        <v>46</v>
      </c>
      <c r="G40">
        <v>0.1421</v>
      </c>
      <c r="H40" s="4">
        <f>(NVIDIA_Stock_Price_History__2[[#This Row],[Price]]-NVIDIA_Stock_Price_History__2[[#This Row],[Open]])/NVIDIA_Stock_Price_History__2[[#This Row],[Open]]</f>
        <v>0.1295</v>
      </c>
    </row>
    <row r="41" spans="1:8" x14ac:dyDescent="0.2">
      <c r="A41" s="1">
        <v>45383</v>
      </c>
      <c r="B41" s="5">
        <v>86.4</v>
      </c>
      <c r="C41" s="5">
        <v>90.3</v>
      </c>
      <c r="D41" s="5">
        <v>92.22</v>
      </c>
      <c r="E41" s="5">
        <v>75.61</v>
      </c>
      <c r="F41" t="s">
        <v>47</v>
      </c>
      <c r="G41">
        <v>-4.3799999999999999E-2</v>
      </c>
      <c r="H41" s="4">
        <f>(NVIDIA_Stock_Price_History__2[[#This Row],[Price]]-NVIDIA_Stock_Price_History__2[[#This Row],[Open]])/NVIDIA_Stock_Price_History__2[[#This Row],[Open]]</f>
        <v>-4.3189368770764028E-2</v>
      </c>
    </row>
    <row r="42" spans="1:8" x14ac:dyDescent="0.2">
      <c r="A42" s="1">
        <v>45413</v>
      </c>
      <c r="B42" s="5">
        <v>109.63</v>
      </c>
      <c r="C42" s="5">
        <v>85.08</v>
      </c>
      <c r="D42" s="5">
        <v>115.82</v>
      </c>
      <c r="E42" s="5">
        <v>81.25</v>
      </c>
      <c r="F42" t="s">
        <v>48</v>
      </c>
      <c r="G42">
        <v>0.26889999999999997</v>
      </c>
      <c r="H42" s="4">
        <f>(NVIDIA_Stock_Price_History__2[[#This Row],[Price]]-NVIDIA_Stock_Price_History__2[[#This Row],[Open]])/NVIDIA_Stock_Price_History__2[[#This Row],[Open]]</f>
        <v>0.2885519511048425</v>
      </c>
    </row>
    <row r="43" spans="1:8" x14ac:dyDescent="0.2">
      <c r="A43" s="1">
        <v>45444</v>
      </c>
      <c r="B43" s="5">
        <v>123.54</v>
      </c>
      <c r="C43" s="5">
        <v>113.62</v>
      </c>
      <c r="D43" s="5">
        <v>140.76</v>
      </c>
      <c r="E43" s="5">
        <v>112</v>
      </c>
      <c r="F43" t="s">
        <v>35</v>
      </c>
      <c r="G43">
        <v>0.12690000000000001</v>
      </c>
      <c r="H43" s="4">
        <f>(NVIDIA_Stock_Price_History__2[[#This Row],[Price]]-NVIDIA_Stock_Price_History__2[[#This Row],[Open]])/NVIDIA_Stock_Price_History__2[[#This Row],[Open]]</f>
        <v>8.7308572434430576E-2</v>
      </c>
    </row>
    <row r="44" spans="1:8" x14ac:dyDescent="0.2">
      <c r="A44" s="1">
        <v>45474</v>
      </c>
      <c r="B44" s="5">
        <v>117.02</v>
      </c>
      <c r="C44" s="5">
        <v>123.47</v>
      </c>
      <c r="D44" s="5">
        <v>136.15</v>
      </c>
      <c r="E44" s="5">
        <v>102.54</v>
      </c>
      <c r="F44" t="s">
        <v>49</v>
      </c>
      <c r="G44">
        <v>-5.28E-2</v>
      </c>
      <c r="H44" s="4">
        <f>(NVIDIA_Stock_Price_History__2[[#This Row],[Price]]-NVIDIA_Stock_Price_History__2[[#This Row],[Open]])/NVIDIA_Stock_Price_History__2[[#This Row],[Open]]</f>
        <v>-5.2239410383089033E-2</v>
      </c>
    </row>
    <row r="45" spans="1:8" x14ac:dyDescent="0.2">
      <c r="A45" s="1">
        <v>45505</v>
      </c>
      <c r="B45" s="5">
        <v>119.37</v>
      </c>
      <c r="C45" s="5">
        <v>117.53</v>
      </c>
      <c r="D45" s="5">
        <v>131.26</v>
      </c>
      <c r="E45" s="5">
        <v>90.69</v>
      </c>
      <c r="F45" t="s">
        <v>50</v>
      </c>
      <c r="G45">
        <v>2.01E-2</v>
      </c>
      <c r="H45" s="4">
        <f>(NVIDIA_Stock_Price_History__2[[#This Row],[Price]]-NVIDIA_Stock_Price_History__2[[#This Row],[Open]])/NVIDIA_Stock_Price_History__2[[#This Row],[Open]]</f>
        <v>1.5655577299412946E-2</v>
      </c>
    </row>
    <row r="46" spans="1:8" x14ac:dyDescent="0.2">
      <c r="A46" s="1">
        <v>45536</v>
      </c>
      <c r="B46" s="5">
        <v>121.44</v>
      </c>
      <c r="C46" s="5">
        <v>116.01</v>
      </c>
      <c r="D46" s="5">
        <v>127.67</v>
      </c>
      <c r="E46" s="5">
        <v>100.95</v>
      </c>
      <c r="F46" t="s">
        <v>51</v>
      </c>
      <c r="G46">
        <v>1.7299999999999999E-2</v>
      </c>
      <c r="H46" s="4">
        <f>(NVIDIA_Stock_Price_History__2[[#This Row],[Price]]-NVIDIA_Stock_Price_History__2[[#This Row],[Open]])/NVIDIA_Stock_Price_History__2[[#This Row],[Open]]</f>
        <v>4.6806309800879166E-2</v>
      </c>
    </row>
    <row r="47" spans="1:8" x14ac:dyDescent="0.2">
      <c r="A47" s="1">
        <v>45566</v>
      </c>
      <c r="B47" s="5">
        <v>132.76</v>
      </c>
      <c r="C47" s="5">
        <v>121.76</v>
      </c>
      <c r="D47" s="5">
        <v>144.41999999999999</v>
      </c>
      <c r="E47" s="5">
        <v>115.14</v>
      </c>
      <c r="F47" t="s">
        <v>52</v>
      </c>
      <c r="G47">
        <v>9.3200000000000005E-2</v>
      </c>
      <c r="H47" s="4">
        <f>(NVIDIA_Stock_Price_History__2[[#This Row],[Price]]-NVIDIA_Stock_Price_History__2[[#This Row],[Open]])/NVIDIA_Stock_Price_History__2[[#This Row],[Open]]</f>
        <v>9.0341655716162816E-2</v>
      </c>
    </row>
    <row r="48" spans="1:8" x14ac:dyDescent="0.2">
      <c r="A48" s="1">
        <v>45597</v>
      </c>
      <c r="B48" s="5">
        <v>138.25</v>
      </c>
      <c r="C48" s="5">
        <v>134.69999999999999</v>
      </c>
      <c r="D48" s="5">
        <v>152.88999999999999</v>
      </c>
      <c r="E48" s="5">
        <v>131.80000000000001</v>
      </c>
      <c r="F48" t="s">
        <v>53</v>
      </c>
      <c r="G48">
        <v>4.1399999999999999E-2</v>
      </c>
      <c r="H48" s="4">
        <f>(NVIDIA_Stock_Price_History__2[[#This Row],[Price]]-NVIDIA_Stock_Price_History__2[[#This Row],[Open]])/NVIDIA_Stock_Price_History__2[[#This Row],[Open]]</f>
        <v>2.6354862657758066E-2</v>
      </c>
    </row>
    <row r="49" spans="1:8" x14ac:dyDescent="0.2">
      <c r="A49" s="1">
        <v>45627</v>
      </c>
      <c r="B49" s="5">
        <v>134.29</v>
      </c>
      <c r="C49" s="5">
        <v>138.83000000000001</v>
      </c>
      <c r="D49" s="5">
        <v>146.54</v>
      </c>
      <c r="E49" s="5">
        <v>126.86</v>
      </c>
      <c r="F49" t="s">
        <v>54</v>
      </c>
      <c r="G49">
        <v>-2.86E-2</v>
      </c>
      <c r="H49" s="4">
        <f>(NVIDIA_Stock_Price_History__2[[#This Row],[Price]]-NVIDIA_Stock_Price_History__2[[#This Row],[Open]])/NVIDIA_Stock_Price_History__2[[#This Row],[Open]]</f>
        <v>-3.270186559101073E-2</v>
      </c>
    </row>
    <row r="50" spans="1:8" x14ac:dyDescent="0.2">
      <c r="A50" s="1">
        <v>45658</v>
      </c>
      <c r="B50" s="5">
        <v>120.07</v>
      </c>
      <c r="C50" s="5">
        <v>136</v>
      </c>
      <c r="D50" s="5">
        <v>153.13</v>
      </c>
      <c r="E50" s="5">
        <v>116.25</v>
      </c>
      <c r="F50" t="s">
        <v>55</v>
      </c>
      <c r="G50">
        <v>-0.10589999999999999</v>
      </c>
      <c r="H50" s="4">
        <f>(NVIDIA_Stock_Price_History__2[[#This Row],[Price]]-NVIDIA_Stock_Price_History__2[[#This Row],[Open]])/NVIDIA_Stock_Price_History__2[[#This Row],[Open]]</f>
        <v>-0.11713235294117652</v>
      </c>
    </row>
    <row r="51" spans="1:8" x14ac:dyDescent="0.2">
      <c r="A51" s="1">
        <v>45689</v>
      </c>
      <c r="B51" s="5">
        <v>124.92</v>
      </c>
      <c r="C51" s="5">
        <v>114.75</v>
      </c>
      <c r="D51" s="5">
        <v>143.44</v>
      </c>
      <c r="E51" s="5">
        <v>113.01</v>
      </c>
      <c r="F51" t="s">
        <v>56</v>
      </c>
      <c r="G51">
        <v>4.0399999999999998E-2</v>
      </c>
      <c r="H51" s="4">
        <f>(NVIDIA_Stock_Price_History__2[[#This Row],[Price]]-NVIDIA_Stock_Price_History__2[[#This Row],[Open]])/NVIDIA_Stock_Price_History__2[[#This Row],[Open]]</f>
        <v>8.8627450980392167E-2</v>
      </c>
    </row>
    <row r="52" spans="1:8" x14ac:dyDescent="0.2">
      <c r="A52" s="1">
        <v>45717</v>
      </c>
      <c r="B52" s="5">
        <v>108.38</v>
      </c>
      <c r="C52" s="5">
        <v>123.51</v>
      </c>
      <c r="D52" s="5">
        <v>123.7</v>
      </c>
      <c r="E52" s="5">
        <v>103.65</v>
      </c>
      <c r="F52" t="s">
        <v>57</v>
      </c>
      <c r="G52">
        <v>-0.13239999999999999</v>
      </c>
      <c r="H52" s="4">
        <f>(NVIDIA_Stock_Price_History__2[[#This Row],[Price]]-NVIDIA_Stock_Price_History__2[[#This Row],[Open]])/NVIDIA_Stock_Price_History__2[[#This Row],[Open]]</f>
        <v>-0.12250020241276018</v>
      </c>
    </row>
    <row r="53" spans="1:8" x14ac:dyDescent="0.2">
      <c r="A53" s="1">
        <v>45748</v>
      </c>
      <c r="B53" s="5">
        <v>108.92</v>
      </c>
      <c r="C53" s="5">
        <v>108.51</v>
      </c>
      <c r="D53" s="5">
        <v>115.1</v>
      </c>
      <c r="E53" s="5">
        <v>86.62</v>
      </c>
      <c r="F53" t="s">
        <v>58</v>
      </c>
      <c r="G53">
        <v>5.0000000000000001E-3</v>
      </c>
      <c r="H53" s="4">
        <f>(NVIDIA_Stock_Price_History__2[[#This Row],[Price]]-NVIDIA_Stock_Price_History__2[[#This Row],[Open]])/NVIDIA_Stock_Price_History__2[[#This Row],[Open]]</f>
        <v>3.7784535987466276E-3</v>
      </c>
    </row>
    <row r="54" spans="1:8" x14ac:dyDescent="0.2">
      <c r="A54" s="1">
        <v>45778</v>
      </c>
      <c r="B54" s="5">
        <v>135.13</v>
      </c>
      <c r="C54" s="5">
        <v>113.08</v>
      </c>
      <c r="D54" s="5">
        <v>143.49</v>
      </c>
      <c r="E54" s="5">
        <v>110.82</v>
      </c>
      <c r="F54" t="s">
        <v>56</v>
      </c>
      <c r="G54">
        <v>0.24060000000000001</v>
      </c>
      <c r="H54" s="4">
        <f>(NVIDIA_Stock_Price_History__2[[#This Row],[Price]]-NVIDIA_Stock_Price_History__2[[#This Row],[Open]])/NVIDIA_Stock_Price_History__2[[#This Row],[Open]]</f>
        <v>0.19499469402193134</v>
      </c>
    </row>
    <row r="55" spans="1:8" x14ac:dyDescent="0.2">
      <c r="A55" s="1">
        <v>45809</v>
      </c>
      <c r="B55" s="5">
        <v>157.99</v>
      </c>
      <c r="C55" s="5">
        <v>135.49</v>
      </c>
      <c r="D55" s="5">
        <v>158.71</v>
      </c>
      <c r="E55" s="5">
        <v>135.4</v>
      </c>
      <c r="F55" t="s">
        <v>59</v>
      </c>
      <c r="G55">
        <v>0.16919999999999999</v>
      </c>
      <c r="H55" s="4">
        <f>(NVIDIA_Stock_Price_History__2[[#This Row],[Price]]-NVIDIA_Stock_Price_History__2[[#This Row],[Open]])/NVIDIA_Stock_Price_History__2[[#This Row],[Open]]</f>
        <v>0.16606391615617389</v>
      </c>
    </row>
    <row r="56" spans="1:8" x14ac:dyDescent="0.2">
      <c r="A56" s="1">
        <v>45839</v>
      </c>
      <c r="B56" s="5">
        <v>177.87</v>
      </c>
      <c r="C56" s="5">
        <v>156.29</v>
      </c>
      <c r="D56" s="5">
        <v>183.3</v>
      </c>
      <c r="E56" s="5">
        <v>151.49</v>
      </c>
      <c r="F56" t="s">
        <v>60</v>
      </c>
      <c r="G56">
        <v>0.1258</v>
      </c>
      <c r="H56" s="4">
        <f>(NVIDIA_Stock_Price_History__2[[#This Row],[Price]]-NVIDIA_Stock_Price_History__2[[#This Row],[Open]])/NVIDIA_Stock_Price_History__2[[#This Row],[Open]]</f>
        <v>0.13807665237699157</v>
      </c>
    </row>
    <row r="57" spans="1:8" x14ac:dyDescent="0.2">
      <c r="A57" s="1">
        <v>45870</v>
      </c>
      <c r="B57" s="5">
        <v>174.18</v>
      </c>
      <c r="C57" s="5">
        <v>174.09</v>
      </c>
      <c r="D57" s="5">
        <v>184.48</v>
      </c>
      <c r="E57" s="5">
        <v>168.8</v>
      </c>
      <c r="F57" t="s">
        <v>61</v>
      </c>
      <c r="G57">
        <v>-2.07E-2</v>
      </c>
      <c r="H57" s="4">
        <f>(NVIDIA_Stock_Price_History__2[[#This Row],[Price]]-NVIDIA_Stock_Price_History__2[[#This Row],[Open]])/NVIDIA_Stock_Price_History__2[[#This Row],[Open]]</f>
        <v>5.1697397897641111E-4</v>
      </c>
    </row>
    <row r="58" spans="1:8" x14ac:dyDescent="0.2">
      <c r="A58" s="1">
        <v>45901</v>
      </c>
      <c r="B58" s="5">
        <v>186.58</v>
      </c>
      <c r="C58" s="5">
        <v>170</v>
      </c>
      <c r="D58" s="5">
        <v>187.35</v>
      </c>
      <c r="E58" s="5">
        <v>164.07</v>
      </c>
      <c r="F58" t="s">
        <v>62</v>
      </c>
      <c r="G58">
        <v>7.1199999999999999E-2</v>
      </c>
      <c r="H58" s="4">
        <f>(NVIDIA_Stock_Price_History__2[[#This Row],[Price]]-NVIDIA_Stock_Price_History__2[[#This Row],[Open]])/NVIDIA_Stock_Price_History__2[[#This Row],[Open]]</f>
        <v>9.7529411764705962E-2</v>
      </c>
    </row>
    <row r="59" spans="1:8" x14ac:dyDescent="0.2">
      <c r="A59" s="1">
        <v>45931</v>
      </c>
      <c r="B59" s="5">
        <v>202.49</v>
      </c>
      <c r="C59" s="5">
        <v>185.24</v>
      </c>
      <c r="D59" s="5">
        <v>212.19</v>
      </c>
      <c r="E59" s="5">
        <v>176.76</v>
      </c>
      <c r="F59" t="s">
        <v>63</v>
      </c>
      <c r="G59">
        <v>8.5300000000000001E-2</v>
      </c>
      <c r="H59" s="4">
        <f>(NVIDIA_Stock_Price_History__2[[#This Row],[Price]]-NVIDIA_Stock_Price_History__2[[#This Row],[Open]])/NVIDIA_Stock_Price_History__2[[#This Row],[Open]]</f>
        <v>9.3122435759015326E-2</v>
      </c>
    </row>
    <row r="60" spans="1:8" x14ac:dyDescent="0.2">
      <c r="A60" s="1">
        <v>45962</v>
      </c>
      <c r="B60" s="5">
        <v>177</v>
      </c>
      <c r="C60" s="5">
        <v>208.08</v>
      </c>
      <c r="D60" s="5">
        <v>211.34</v>
      </c>
      <c r="E60" s="5">
        <v>169.55</v>
      </c>
      <c r="F60" t="s">
        <v>64</v>
      </c>
      <c r="G60">
        <v>-0.12590000000000001</v>
      </c>
      <c r="H60" s="4">
        <f>(NVIDIA_Stock_Price_History__2[[#This Row],[Price]]-NVIDIA_Stock_Price_History__2[[#This Row],[Open]])/NVIDIA_Stock_Price_History__2[[#This Row],[Open]]</f>
        <v>-0.14936562860438299</v>
      </c>
    </row>
    <row r="61" spans="1:8" x14ac:dyDescent="0.2">
      <c r="A61" s="1">
        <v>45992</v>
      </c>
      <c r="B61" s="5">
        <v>186.5</v>
      </c>
      <c r="C61" s="5">
        <v>174.76</v>
      </c>
      <c r="D61" s="5">
        <v>192.69</v>
      </c>
      <c r="E61" s="5">
        <v>170.31</v>
      </c>
      <c r="F61" t="s">
        <v>65</v>
      </c>
      <c r="G61">
        <v>5.3699999999999998E-2</v>
      </c>
      <c r="H61" s="4">
        <f>(NVIDIA_Stock_Price_History__2[[#This Row],[Price]]-NVIDIA_Stock_Price_History__2[[#This Row],[Open]])/NVIDIA_Stock_Price_History__2[[#This Row],[Open]]</f>
        <v>6.717784390020605E-2</v>
      </c>
    </row>
    <row r="62" spans="1:8" x14ac:dyDescent="0.2">
      <c r="A62" s="1">
        <v>46023</v>
      </c>
      <c r="B62" s="5">
        <v>191.13</v>
      </c>
      <c r="C62" s="5">
        <v>189.84</v>
      </c>
      <c r="D62" s="5">
        <v>194.49</v>
      </c>
      <c r="E62" s="5">
        <v>177.61</v>
      </c>
      <c r="F62" t="s">
        <v>66</v>
      </c>
      <c r="G62">
        <v>2.4799999999999999E-2</v>
      </c>
      <c r="H62" s="4">
        <f>(NVIDIA_Stock_Price_History__2[[#This Row],[Price]]-NVIDIA_Stock_Price_History__2[[#This Row],[Open]])/NVIDIA_Stock_Price_History__2[[#This Row],[Open]]</f>
        <v>6.7951959544879474E-3</v>
      </c>
    </row>
    <row r="63" spans="1:8" x14ac:dyDescent="0.2">
      <c r="A63" s="1">
        <v>46054</v>
      </c>
      <c r="B63" s="5">
        <v>177.19</v>
      </c>
      <c r="C63" s="5">
        <v>187.2</v>
      </c>
      <c r="D63" s="5">
        <v>197.63</v>
      </c>
      <c r="E63" s="5">
        <v>171.03</v>
      </c>
      <c r="F63" t="s">
        <v>67</v>
      </c>
      <c r="G63">
        <v>-7.2900000000000006E-2</v>
      </c>
      <c r="H63" s="4">
        <f>(NVIDIA_Stock_Price_History__2[[#This Row],[Price]]-NVIDIA_Stock_Price_History__2[[#This Row],[Open]])/NVIDIA_Stock_Price_History__2[[#This Row],[Open]]</f>
        <v>-5.3472222222222178E-2</v>
      </c>
    </row>
    <row r="64" spans="1:8" x14ac:dyDescent="0.2">
      <c r="A64" s="1">
        <v>46082</v>
      </c>
      <c r="B64" s="5">
        <v>174.4</v>
      </c>
      <c r="C64" s="5">
        <v>175.01</v>
      </c>
      <c r="D64" s="5">
        <v>188.88</v>
      </c>
      <c r="E64" s="5">
        <v>164.27</v>
      </c>
      <c r="F64" t="s">
        <v>63</v>
      </c>
      <c r="G64">
        <v>-1.5699999999999999E-2</v>
      </c>
      <c r="H64" s="4">
        <f>(NVIDIA_Stock_Price_History__2[[#This Row],[Price]]-NVIDIA_Stock_Price_History__2[[#This Row],[Open]])/NVIDIA_Stock_Price_History__2[[#This Row],[Open]]</f>
        <v>-3.485515113422006E-3</v>
      </c>
    </row>
    <row r="65" spans="1:8" x14ac:dyDescent="0.2">
      <c r="A65" s="1">
        <v>46113</v>
      </c>
      <c r="B65" s="5">
        <v>213.94</v>
      </c>
      <c r="C65" s="5">
        <v>176</v>
      </c>
      <c r="D65" s="5">
        <v>216.82</v>
      </c>
      <c r="E65" s="5">
        <v>171.37</v>
      </c>
      <c r="F65" t="s">
        <v>68</v>
      </c>
      <c r="G65">
        <v>0.22670000000000001</v>
      </c>
      <c r="H65" s="4">
        <f>(NVIDIA_Stock_Price_History__2[[#This Row],[Price]]-NVIDIA_Stock_Price_History__2[[#This Row],[Open]])/NVIDIA_Stock_Price_History__2[[#This Row],[Open]]</f>
        <v>0.2155681818181818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38B48-2941-E243-AD3E-B7E5F33F149A}">
  <sheetPr codeName="Sheet2"/>
  <dimension ref="A1:H65"/>
  <sheetViews>
    <sheetView workbookViewId="0">
      <selection sqref="A1:XFD1048576"/>
    </sheetView>
  </sheetViews>
  <sheetFormatPr baseColWidth="10" defaultColWidth="11.5" defaultRowHeight="15" x14ac:dyDescent="0.2"/>
  <cols>
    <col min="1" max="1" width="10.5" bestFit="1" customWidth="1"/>
    <col min="2" max="5" width="9.1640625" bestFit="1" customWidth="1"/>
    <col min="6" max="6" width="9" bestFit="1" customWidth="1"/>
    <col min="7" max="7" width="12" bestFit="1" customWidth="1"/>
    <col min="8" max="8" width="35.832031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s="1">
        <v>44197</v>
      </c>
      <c r="B2" s="5">
        <v>128.66999999999999</v>
      </c>
      <c r="C2" s="5">
        <v>127.5</v>
      </c>
      <c r="D2" s="5">
        <v>142.75</v>
      </c>
      <c r="E2" s="5">
        <v>123.77</v>
      </c>
      <c r="F2" t="s">
        <v>69</v>
      </c>
      <c r="G2">
        <v>1.26E-2</v>
      </c>
      <c r="H2" s="4">
        <f>(JPMorgan_Stock_Price_History__2[[#This Row],[Price]]-JPMorgan_Stock_Price_History__2[[#This Row],[Open]])/JPMorgan_Stock_Price_History__2[[#This Row],[Open]]</f>
        <v>9.1764705882351957E-3</v>
      </c>
    </row>
    <row r="3" spans="1:8" x14ac:dyDescent="0.2">
      <c r="A3" s="1">
        <v>44228</v>
      </c>
      <c r="B3" s="5">
        <v>147.16999999999999</v>
      </c>
      <c r="C3" s="5">
        <v>129.4</v>
      </c>
      <c r="D3" s="5">
        <v>154.9</v>
      </c>
      <c r="E3" s="5">
        <v>128.47999999999999</v>
      </c>
      <c r="F3" t="s">
        <v>70</v>
      </c>
      <c r="G3">
        <v>0.14380000000000001</v>
      </c>
      <c r="H3" s="4">
        <f>(JPMorgan_Stock_Price_History__2[[#This Row],[Price]]-JPMorgan_Stock_Price_History__2[[#This Row],[Open]])/JPMorgan_Stock_Price_History__2[[#This Row],[Open]]</f>
        <v>0.13732612055641408</v>
      </c>
    </row>
    <row r="4" spans="1:8" x14ac:dyDescent="0.2">
      <c r="A4" s="1">
        <v>44256</v>
      </c>
      <c r="B4" s="5">
        <v>152.22999999999999</v>
      </c>
      <c r="C4" s="5">
        <v>149.52000000000001</v>
      </c>
      <c r="D4" s="5">
        <v>161.69</v>
      </c>
      <c r="E4" s="5">
        <v>147.97</v>
      </c>
      <c r="F4" t="s">
        <v>71</v>
      </c>
      <c r="G4">
        <v>3.44E-2</v>
      </c>
      <c r="H4" s="4">
        <f>(JPMorgan_Stock_Price_History__2[[#This Row],[Price]]-JPMorgan_Stock_Price_History__2[[#This Row],[Open]])/JPMorgan_Stock_Price_History__2[[#This Row],[Open]]</f>
        <v>1.8124665596575572E-2</v>
      </c>
    </row>
    <row r="5" spans="1:8" x14ac:dyDescent="0.2">
      <c r="A5" s="1">
        <v>44287</v>
      </c>
      <c r="B5" s="5">
        <v>153.81</v>
      </c>
      <c r="C5" s="5">
        <v>151.9</v>
      </c>
      <c r="D5" s="5">
        <v>157.25</v>
      </c>
      <c r="E5" s="5">
        <v>146.68</v>
      </c>
      <c r="F5" t="s">
        <v>72</v>
      </c>
      <c r="G5">
        <v>1.04E-2</v>
      </c>
      <c r="H5" s="4">
        <f>(JPMorgan_Stock_Price_History__2[[#This Row],[Price]]-JPMorgan_Stock_Price_History__2[[#This Row],[Open]])/JPMorgan_Stock_Price_History__2[[#This Row],[Open]]</f>
        <v>1.257406188281762E-2</v>
      </c>
    </row>
    <row r="6" spans="1:8" x14ac:dyDescent="0.2">
      <c r="A6" s="1">
        <v>44317</v>
      </c>
      <c r="B6" s="5">
        <v>164.24</v>
      </c>
      <c r="C6" s="5">
        <v>154.85</v>
      </c>
      <c r="D6" s="5">
        <v>165.7</v>
      </c>
      <c r="E6" s="5">
        <v>152.13999999999999</v>
      </c>
      <c r="F6" t="s">
        <v>73</v>
      </c>
      <c r="G6">
        <v>6.7799999999999999E-2</v>
      </c>
      <c r="H6" s="4">
        <f>(JPMorgan_Stock_Price_History__2[[#This Row],[Price]]-JPMorgan_Stock_Price_History__2[[#This Row],[Open]])/JPMorgan_Stock_Price_History__2[[#This Row],[Open]]</f>
        <v>6.0639328382305555E-2</v>
      </c>
    </row>
    <row r="7" spans="1:8" x14ac:dyDescent="0.2">
      <c r="A7" s="1">
        <v>44348</v>
      </c>
      <c r="B7" s="5">
        <v>155.54</v>
      </c>
      <c r="C7" s="5">
        <v>165.87</v>
      </c>
      <c r="D7" s="5">
        <v>167.44</v>
      </c>
      <c r="E7" s="5">
        <v>147.56</v>
      </c>
      <c r="F7" t="s">
        <v>74</v>
      </c>
      <c r="G7">
        <v>-5.2999999999999999E-2</v>
      </c>
      <c r="H7" s="4">
        <f>(JPMorgan_Stock_Price_History__2[[#This Row],[Price]]-JPMorgan_Stock_Price_History__2[[#This Row],[Open]])/JPMorgan_Stock_Price_History__2[[#This Row],[Open]]</f>
        <v>-6.2277687345511618E-2</v>
      </c>
    </row>
    <row r="8" spans="1:8" x14ac:dyDescent="0.2">
      <c r="A8" s="1">
        <v>44378</v>
      </c>
      <c r="B8" s="5">
        <v>151.78</v>
      </c>
      <c r="C8" s="5">
        <v>156.26</v>
      </c>
      <c r="D8" s="5">
        <v>159.16</v>
      </c>
      <c r="E8" s="5">
        <v>145.71</v>
      </c>
      <c r="F8" t="s">
        <v>75</v>
      </c>
      <c r="G8">
        <v>-2.4199999999999999E-2</v>
      </c>
      <c r="H8" s="4">
        <f>(JPMorgan_Stock_Price_History__2[[#This Row],[Price]]-JPMorgan_Stock_Price_History__2[[#This Row],[Open]])/JPMorgan_Stock_Price_History__2[[#This Row],[Open]]</f>
        <v>-2.8670165109432932E-2</v>
      </c>
    </row>
    <row r="9" spans="1:8" x14ac:dyDescent="0.2">
      <c r="A9" s="1">
        <v>44409</v>
      </c>
      <c r="B9" s="5">
        <v>159.94999999999999</v>
      </c>
      <c r="C9" s="5">
        <v>152.03</v>
      </c>
      <c r="D9" s="5">
        <v>163.83000000000001</v>
      </c>
      <c r="E9" s="5">
        <v>149.52000000000001</v>
      </c>
      <c r="F9" t="s">
        <v>76</v>
      </c>
      <c r="G9">
        <v>5.3800000000000001E-2</v>
      </c>
      <c r="H9" s="4">
        <f>(JPMorgan_Stock_Price_History__2[[#This Row],[Price]]-JPMorgan_Stock_Price_History__2[[#This Row],[Open]])/JPMorgan_Stock_Price_History__2[[#This Row],[Open]]</f>
        <v>5.2094981253699844E-2</v>
      </c>
    </row>
    <row r="10" spans="1:8" x14ac:dyDescent="0.2">
      <c r="A10" s="1">
        <v>44440</v>
      </c>
      <c r="B10" s="5">
        <v>163.69</v>
      </c>
      <c r="C10" s="5">
        <v>160.22</v>
      </c>
      <c r="D10" s="5">
        <v>169.3</v>
      </c>
      <c r="E10" s="5">
        <v>150.49</v>
      </c>
      <c r="F10" t="s">
        <v>77</v>
      </c>
      <c r="G10">
        <v>2.3400000000000001E-2</v>
      </c>
      <c r="H10" s="4">
        <f>(JPMorgan_Stock_Price_History__2[[#This Row],[Price]]-JPMorgan_Stock_Price_History__2[[#This Row],[Open]])/JPMorgan_Stock_Price_History__2[[#This Row],[Open]]</f>
        <v>2.1657720634128068E-2</v>
      </c>
    </row>
    <row r="11" spans="1:8" x14ac:dyDescent="0.2">
      <c r="A11" s="1">
        <v>44470</v>
      </c>
      <c r="B11" s="5">
        <v>169.89</v>
      </c>
      <c r="C11" s="5">
        <v>164</v>
      </c>
      <c r="D11" s="5">
        <v>172.96</v>
      </c>
      <c r="E11" s="5">
        <v>160.06</v>
      </c>
      <c r="F11" t="s">
        <v>78</v>
      </c>
      <c r="G11">
        <v>3.7900000000000003E-2</v>
      </c>
      <c r="H11" s="4">
        <f>(JPMorgan_Stock_Price_History__2[[#This Row],[Price]]-JPMorgan_Stock_Price_History__2[[#This Row],[Open]])/JPMorgan_Stock_Price_History__2[[#This Row],[Open]]</f>
        <v>3.5914634146341377E-2</v>
      </c>
    </row>
    <row r="12" spans="1:8" x14ac:dyDescent="0.2">
      <c r="A12" s="1">
        <v>44501</v>
      </c>
      <c r="B12" s="5">
        <v>158.83000000000001</v>
      </c>
      <c r="C12" s="5">
        <v>172.04</v>
      </c>
      <c r="D12" s="5">
        <v>172.33</v>
      </c>
      <c r="E12" s="5">
        <v>158.29</v>
      </c>
      <c r="F12" t="s">
        <v>79</v>
      </c>
      <c r="G12">
        <v>-6.5100000000000005E-2</v>
      </c>
      <c r="H12" s="4">
        <f>(JPMorgan_Stock_Price_History__2[[#This Row],[Price]]-JPMorgan_Stock_Price_History__2[[#This Row],[Open]])/JPMorgan_Stock_Price_History__2[[#This Row],[Open]]</f>
        <v>-7.6784468728202632E-2</v>
      </c>
    </row>
    <row r="13" spans="1:8" x14ac:dyDescent="0.2">
      <c r="A13" s="1">
        <v>44531</v>
      </c>
      <c r="B13" s="5">
        <v>158.35</v>
      </c>
      <c r="C13" s="5">
        <v>161</v>
      </c>
      <c r="D13" s="5">
        <v>163.38999999999999</v>
      </c>
      <c r="E13" s="5">
        <v>151.84</v>
      </c>
      <c r="F13" t="s">
        <v>80</v>
      </c>
      <c r="G13">
        <v>-3.0000000000000001E-3</v>
      </c>
      <c r="H13" s="4">
        <f>(JPMorgan_Stock_Price_History__2[[#This Row],[Price]]-JPMorgan_Stock_Price_History__2[[#This Row],[Open]])/JPMorgan_Stock_Price_History__2[[#This Row],[Open]]</f>
        <v>-1.645962732919258E-2</v>
      </c>
    </row>
    <row r="14" spans="1:8" x14ac:dyDescent="0.2">
      <c r="A14" s="1">
        <v>44562</v>
      </c>
      <c r="B14" s="5">
        <v>148.6</v>
      </c>
      <c r="C14" s="5">
        <v>159.86000000000001</v>
      </c>
      <c r="D14" s="5">
        <v>169.81</v>
      </c>
      <c r="E14" s="5">
        <v>139.57</v>
      </c>
      <c r="F14" t="s">
        <v>81</v>
      </c>
      <c r="G14">
        <v>-6.1600000000000002E-2</v>
      </c>
      <c r="H14" s="4">
        <f>(JPMorgan_Stock_Price_History__2[[#This Row],[Price]]-JPMorgan_Stock_Price_History__2[[#This Row],[Open]])/JPMorgan_Stock_Price_History__2[[#This Row],[Open]]</f>
        <v>-7.0436632053046525E-2</v>
      </c>
    </row>
    <row r="15" spans="1:8" x14ac:dyDescent="0.2">
      <c r="A15" s="1">
        <v>44593</v>
      </c>
      <c r="B15" s="5">
        <v>141.80000000000001</v>
      </c>
      <c r="C15" s="5">
        <v>148.69</v>
      </c>
      <c r="D15" s="5">
        <v>159.03</v>
      </c>
      <c r="E15" s="5">
        <v>139.78</v>
      </c>
      <c r="F15" t="s">
        <v>82</v>
      </c>
      <c r="G15">
        <v>-4.58E-2</v>
      </c>
      <c r="H15" s="4">
        <f>(JPMorgan_Stock_Price_History__2[[#This Row],[Price]]-JPMorgan_Stock_Price_History__2[[#This Row],[Open]])/JPMorgan_Stock_Price_History__2[[#This Row],[Open]]</f>
        <v>-4.633801869661703E-2</v>
      </c>
    </row>
    <row r="16" spans="1:8" x14ac:dyDescent="0.2">
      <c r="A16" s="1">
        <v>44621</v>
      </c>
      <c r="B16" s="5">
        <v>136.32</v>
      </c>
      <c r="C16" s="5">
        <v>140.04</v>
      </c>
      <c r="D16" s="5">
        <v>143.93</v>
      </c>
      <c r="E16" s="5">
        <v>127.27</v>
      </c>
      <c r="F16" t="s">
        <v>83</v>
      </c>
      <c r="G16">
        <v>-3.8600000000000002E-2</v>
      </c>
      <c r="H16" s="4">
        <f>(JPMorgan_Stock_Price_History__2[[#This Row],[Price]]-JPMorgan_Stock_Price_History__2[[#This Row],[Open]])/JPMorgan_Stock_Price_History__2[[#This Row],[Open]]</f>
        <v>-2.6563838903170517E-2</v>
      </c>
    </row>
    <row r="17" spans="1:8" x14ac:dyDescent="0.2">
      <c r="A17" s="1">
        <v>44652</v>
      </c>
      <c r="B17" s="5">
        <v>119.36</v>
      </c>
      <c r="C17" s="5">
        <v>137.4</v>
      </c>
      <c r="D17" s="5">
        <v>137.41</v>
      </c>
      <c r="E17" s="5">
        <v>118.9</v>
      </c>
      <c r="F17" t="s">
        <v>84</v>
      </c>
      <c r="G17">
        <v>-0.1244</v>
      </c>
      <c r="H17" s="4">
        <f>(JPMorgan_Stock_Price_History__2[[#This Row],[Price]]-JPMorgan_Stock_Price_History__2[[#This Row],[Open]])/JPMorgan_Stock_Price_History__2[[#This Row],[Open]]</f>
        <v>-0.1312954876273654</v>
      </c>
    </row>
    <row r="18" spans="1:8" x14ac:dyDescent="0.2">
      <c r="A18" s="1">
        <v>44682</v>
      </c>
      <c r="B18" s="5">
        <v>132.22999999999999</v>
      </c>
      <c r="C18" s="5">
        <v>119.88</v>
      </c>
      <c r="D18" s="5">
        <v>133.15</v>
      </c>
      <c r="E18" s="5">
        <v>115.02</v>
      </c>
      <c r="F18" t="s">
        <v>85</v>
      </c>
      <c r="G18">
        <v>0.10780000000000001</v>
      </c>
      <c r="H18" s="4">
        <f>(JPMorgan_Stock_Price_History__2[[#This Row],[Price]]-JPMorgan_Stock_Price_History__2[[#This Row],[Open]])/JPMorgan_Stock_Price_History__2[[#This Row],[Open]]</f>
        <v>0.10301968635301964</v>
      </c>
    </row>
    <row r="19" spans="1:8" x14ac:dyDescent="0.2">
      <c r="A19" s="1">
        <v>44713</v>
      </c>
      <c r="B19" s="5">
        <v>112.61</v>
      </c>
      <c r="C19" s="5">
        <v>132.87</v>
      </c>
      <c r="D19" s="5">
        <v>132.87</v>
      </c>
      <c r="E19" s="5">
        <v>110.93</v>
      </c>
      <c r="F19" t="s">
        <v>86</v>
      </c>
      <c r="G19">
        <v>-0.1484</v>
      </c>
      <c r="H19" s="4">
        <f>(JPMorgan_Stock_Price_History__2[[#This Row],[Price]]-JPMorgan_Stock_Price_History__2[[#This Row],[Open]])/JPMorgan_Stock_Price_History__2[[#This Row],[Open]]</f>
        <v>-0.1524798675397005</v>
      </c>
    </row>
    <row r="20" spans="1:8" x14ac:dyDescent="0.2">
      <c r="A20" s="1">
        <v>44743</v>
      </c>
      <c r="B20" s="5">
        <v>115.36</v>
      </c>
      <c r="C20" s="5">
        <v>112.65</v>
      </c>
      <c r="D20" s="5">
        <v>116.5</v>
      </c>
      <c r="E20" s="5">
        <v>106.06</v>
      </c>
      <c r="F20" t="s">
        <v>87</v>
      </c>
      <c r="G20">
        <v>2.4400000000000002E-2</v>
      </c>
      <c r="H20" s="4">
        <f>(JPMorgan_Stock_Price_History__2[[#This Row],[Price]]-JPMorgan_Stock_Price_History__2[[#This Row],[Open]])/JPMorgan_Stock_Price_History__2[[#This Row],[Open]]</f>
        <v>2.4056813138038115E-2</v>
      </c>
    </row>
    <row r="21" spans="1:8" x14ac:dyDescent="0.2">
      <c r="A21" s="1">
        <v>44774</v>
      </c>
      <c r="B21" s="5">
        <v>113.73</v>
      </c>
      <c r="C21" s="5">
        <v>114.5</v>
      </c>
      <c r="D21" s="5">
        <v>124.24</v>
      </c>
      <c r="E21" s="5">
        <v>111.02</v>
      </c>
      <c r="F21" t="s">
        <v>88</v>
      </c>
      <c r="G21">
        <v>-1.41E-2</v>
      </c>
      <c r="H21" s="4">
        <f>(JPMorgan_Stock_Price_History__2[[#This Row],[Price]]-JPMorgan_Stock_Price_History__2[[#This Row],[Open]])/JPMorgan_Stock_Price_History__2[[#This Row],[Open]]</f>
        <v>-6.724890829694288E-3</v>
      </c>
    </row>
    <row r="22" spans="1:8" x14ac:dyDescent="0.2">
      <c r="A22" s="1">
        <v>44805</v>
      </c>
      <c r="B22" s="5">
        <v>104.5</v>
      </c>
      <c r="C22" s="5">
        <v>113.29</v>
      </c>
      <c r="D22" s="5">
        <v>121.55</v>
      </c>
      <c r="E22" s="5">
        <v>104.4</v>
      </c>
      <c r="F22" t="s">
        <v>89</v>
      </c>
      <c r="G22">
        <v>-8.1199999999999994E-2</v>
      </c>
      <c r="H22" s="4">
        <f>(JPMorgan_Stock_Price_History__2[[#This Row],[Price]]-JPMorgan_Stock_Price_History__2[[#This Row],[Open]])/JPMorgan_Stock_Price_History__2[[#This Row],[Open]]</f>
        <v>-7.7588489716656425E-2</v>
      </c>
    </row>
    <row r="23" spans="1:8" x14ac:dyDescent="0.2">
      <c r="A23" s="1">
        <v>44835</v>
      </c>
      <c r="B23" s="5">
        <v>125.88</v>
      </c>
      <c r="C23" s="5">
        <v>105.62</v>
      </c>
      <c r="D23" s="5">
        <v>127.43</v>
      </c>
      <c r="E23" s="5">
        <v>101.28</v>
      </c>
      <c r="F23" t="s">
        <v>90</v>
      </c>
      <c r="G23">
        <v>0.2046</v>
      </c>
      <c r="H23" s="4">
        <f>(JPMorgan_Stock_Price_History__2[[#This Row],[Price]]-JPMorgan_Stock_Price_History__2[[#This Row],[Open]])/JPMorgan_Stock_Price_History__2[[#This Row],[Open]]</f>
        <v>0.1918197311115318</v>
      </c>
    </row>
    <row r="24" spans="1:8" x14ac:dyDescent="0.2">
      <c r="A24" s="1">
        <v>44866</v>
      </c>
      <c r="B24" s="5">
        <v>138.18</v>
      </c>
      <c r="C24" s="5">
        <v>126.87</v>
      </c>
      <c r="D24" s="5">
        <v>138.18</v>
      </c>
      <c r="E24" s="5">
        <v>125.91</v>
      </c>
      <c r="F24" t="s">
        <v>91</v>
      </c>
      <c r="G24">
        <v>9.7699999999999995E-2</v>
      </c>
      <c r="H24" s="4">
        <f>(JPMorgan_Stock_Price_History__2[[#This Row],[Price]]-JPMorgan_Stock_Price_History__2[[#This Row],[Open]])/JPMorgan_Stock_Price_History__2[[#This Row],[Open]]</f>
        <v>8.914637030030742E-2</v>
      </c>
    </row>
    <row r="25" spans="1:8" x14ac:dyDescent="0.2">
      <c r="A25" s="1">
        <v>44896</v>
      </c>
      <c r="B25" s="5">
        <v>134.1</v>
      </c>
      <c r="C25" s="5">
        <v>138.18</v>
      </c>
      <c r="D25" s="5">
        <v>138.66</v>
      </c>
      <c r="E25" s="5">
        <v>128.41</v>
      </c>
      <c r="F25" t="s">
        <v>92</v>
      </c>
      <c r="G25">
        <v>-2.9499999999999998E-2</v>
      </c>
      <c r="H25" s="4">
        <f>(JPMorgan_Stock_Price_History__2[[#This Row],[Price]]-JPMorgan_Stock_Price_History__2[[#This Row],[Open]])/JPMorgan_Stock_Price_History__2[[#This Row],[Open]]</f>
        <v>-2.9526704298740863E-2</v>
      </c>
    </row>
    <row r="26" spans="1:8" x14ac:dyDescent="0.2">
      <c r="A26" s="1">
        <v>44927</v>
      </c>
      <c r="B26" s="5">
        <v>139.96</v>
      </c>
      <c r="C26" s="5">
        <v>135.24</v>
      </c>
      <c r="D26" s="5">
        <v>143.49</v>
      </c>
      <c r="E26" s="5">
        <v>133.55000000000001</v>
      </c>
      <c r="F26" t="s">
        <v>93</v>
      </c>
      <c r="G26">
        <v>4.3700000000000003E-2</v>
      </c>
      <c r="H26" s="4">
        <f>(JPMorgan_Stock_Price_History__2[[#This Row],[Price]]-JPMorgan_Stock_Price_History__2[[#This Row],[Open]])/JPMorgan_Stock_Price_History__2[[#This Row],[Open]]</f>
        <v>3.4900916888494518E-2</v>
      </c>
    </row>
    <row r="27" spans="1:8" x14ac:dyDescent="0.2">
      <c r="A27" s="1">
        <v>44958</v>
      </c>
      <c r="B27" s="5">
        <v>143.35</v>
      </c>
      <c r="C27" s="5">
        <v>138.21</v>
      </c>
      <c r="D27" s="5">
        <v>144.34</v>
      </c>
      <c r="E27" s="5">
        <v>137.43</v>
      </c>
      <c r="F27" t="s">
        <v>94</v>
      </c>
      <c r="G27">
        <v>2.4199999999999999E-2</v>
      </c>
      <c r="H27" s="4">
        <f>(JPMorgan_Stock_Price_History__2[[#This Row],[Price]]-JPMorgan_Stock_Price_History__2[[#This Row],[Open]])/JPMorgan_Stock_Price_History__2[[#This Row],[Open]]</f>
        <v>3.7189783662542407E-2</v>
      </c>
    </row>
    <row r="28" spans="1:8" x14ac:dyDescent="0.2">
      <c r="A28" s="1">
        <v>44986</v>
      </c>
      <c r="B28" s="5">
        <v>130.31</v>
      </c>
      <c r="C28" s="5">
        <v>142.1</v>
      </c>
      <c r="D28" s="5">
        <v>144.04</v>
      </c>
      <c r="E28" s="5">
        <v>123.11</v>
      </c>
      <c r="F28" t="s">
        <v>95</v>
      </c>
      <c r="G28">
        <v>-9.0999999999999998E-2</v>
      </c>
      <c r="H28" s="4">
        <f>(JPMorgan_Stock_Price_History__2[[#This Row],[Price]]-JPMorgan_Stock_Price_History__2[[#This Row],[Open]])/JPMorgan_Stock_Price_History__2[[#This Row],[Open]]</f>
        <v>-8.2969739619985869E-2</v>
      </c>
    </row>
    <row r="29" spans="1:8" x14ac:dyDescent="0.2">
      <c r="A29" s="1">
        <v>45017</v>
      </c>
      <c r="B29" s="5">
        <v>138.24</v>
      </c>
      <c r="C29" s="5">
        <v>129.91</v>
      </c>
      <c r="D29" s="5">
        <v>141.78</v>
      </c>
      <c r="E29" s="5">
        <v>126.22</v>
      </c>
      <c r="F29" t="s">
        <v>96</v>
      </c>
      <c r="G29">
        <v>6.0900000000000003E-2</v>
      </c>
      <c r="H29" s="4">
        <f>(JPMorgan_Stock_Price_History__2[[#This Row],[Price]]-JPMorgan_Stock_Price_History__2[[#This Row],[Open]])/JPMorgan_Stock_Price_History__2[[#This Row],[Open]]</f>
        <v>6.4121314756369896E-2</v>
      </c>
    </row>
    <row r="30" spans="1:8" x14ac:dyDescent="0.2">
      <c r="A30" s="1">
        <v>45047</v>
      </c>
      <c r="B30" s="5">
        <v>135.71</v>
      </c>
      <c r="C30" s="5">
        <v>142.26</v>
      </c>
      <c r="D30" s="5">
        <v>143.37</v>
      </c>
      <c r="E30" s="5">
        <v>131.81</v>
      </c>
      <c r="F30" t="s">
        <v>97</v>
      </c>
      <c r="G30">
        <v>-1.83E-2</v>
      </c>
      <c r="H30" s="4">
        <f>(JPMorgan_Stock_Price_History__2[[#This Row],[Price]]-JPMorgan_Stock_Price_History__2[[#This Row],[Open]])/JPMorgan_Stock_Price_History__2[[#This Row],[Open]]</f>
        <v>-4.6042457472233823E-2</v>
      </c>
    </row>
    <row r="31" spans="1:8" x14ac:dyDescent="0.2">
      <c r="A31" s="1">
        <v>45078</v>
      </c>
      <c r="B31" s="5">
        <v>145.44</v>
      </c>
      <c r="C31" s="5">
        <v>136.52000000000001</v>
      </c>
      <c r="D31" s="5">
        <v>146</v>
      </c>
      <c r="E31" s="5">
        <v>135.44999999999999</v>
      </c>
      <c r="F31" t="s">
        <v>98</v>
      </c>
      <c r="G31">
        <v>7.17E-2</v>
      </c>
      <c r="H31" s="4">
        <f>(JPMorgan_Stock_Price_History__2[[#This Row],[Price]]-JPMorgan_Stock_Price_History__2[[#This Row],[Open]])/JPMorgan_Stock_Price_History__2[[#This Row],[Open]]</f>
        <v>6.5338411954292311E-2</v>
      </c>
    </row>
    <row r="32" spans="1:8" x14ac:dyDescent="0.2">
      <c r="A32" s="1">
        <v>45108</v>
      </c>
      <c r="B32" s="5">
        <v>157.96</v>
      </c>
      <c r="C32" s="5">
        <v>146.19</v>
      </c>
      <c r="D32" s="5">
        <v>159.38</v>
      </c>
      <c r="E32" s="5">
        <v>141.44</v>
      </c>
      <c r="F32" t="s">
        <v>99</v>
      </c>
      <c r="G32">
        <v>8.6099999999999996E-2</v>
      </c>
      <c r="H32" s="4">
        <f>(JPMorgan_Stock_Price_History__2[[#This Row],[Price]]-JPMorgan_Stock_Price_History__2[[#This Row],[Open]])/JPMorgan_Stock_Price_History__2[[#This Row],[Open]]</f>
        <v>8.0511662904439493E-2</v>
      </c>
    </row>
    <row r="33" spans="1:8" x14ac:dyDescent="0.2">
      <c r="A33" s="1">
        <v>45139</v>
      </c>
      <c r="B33" s="5">
        <v>146.33000000000001</v>
      </c>
      <c r="C33" s="5">
        <v>157.43</v>
      </c>
      <c r="D33" s="5">
        <v>158</v>
      </c>
      <c r="E33" s="5">
        <v>145.46</v>
      </c>
      <c r="F33" t="s">
        <v>100</v>
      </c>
      <c r="G33">
        <v>-7.3599999999999999E-2</v>
      </c>
      <c r="H33" s="4">
        <f>(JPMorgan_Stock_Price_History__2[[#This Row],[Price]]-JPMorgan_Stock_Price_History__2[[#This Row],[Open]])/JPMorgan_Stock_Price_History__2[[#This Row],[Open]]</f>
        <v>-7.0507527154925961E-2</v>
      </c>
    </row>
    <row r="34" spans="1:8" x14ac:dyDescent="0.2">
      <c r="A34" s="1">
        <v>45170</v>
      </c>
      <c r="B34" s="5">
        <v>145.02000000000001</v>
      </c>
      <c r="C34" s="5">
        <v>146.09</v>
      </c>
      <c r="D34" s="5">
        <v>150.25</v>
      </c>
      <c r="E34" s="5">
        <v>142.65</v>
      </c>
      <c r="F34" t="s">
        <v>101</v>
      </c>
      <c r="G34">
        <v>-8.9999999999999993E-3</v>
      </c>
      <c r="H34" s="4">
        <f>(JPMorgan_Stock_Price_History__2[[#This Row],[Price]]-JPMorgan_Stock_Price_History__2[[#This Row],[Open]])/JPMorgan_Stock_Price_History__2[[#This Row],[Open]]</f>
        <v>-7.3242521733177706E-3</v>
      </c>
    </row>
    <row r="35" spans="1:8" x14ac:dyDescent="0.2">
      <c r="A35" s="1">
        <v>45200</v>
      </c>
      <c r="B35" s="5">
        <v>139.06</v>
      </c>
      <c r="C35" s="5">
        <v>144.83000000000001</v>
      </c>
      <c r="D35" s="5">
        <v>153.11000000000001</v>
      </c>
      <c r="E35" s="5">
        <v>135.19</v>
      </c>
      <c r="F35" t="s">
        <v>102</v>
      </c>
      <c r="G35">
        <v>-4.1099999999999998E-2</v>
      </c>
      <c r="H35" s="4">
        <f>(JPMorgan_Stock_Price_History__2[[#This Row],[Price]]-JPMorgan_Stock_Price_History__2[[#This Row],[Open]])/JPMorgan_Stock_Price_History__2[[#This Row],[Open]]</f>
        <v>-3.9839812193606362E-2</v>
      </c>
    </row>
    <row r="36" spans="1:8" x14ac:dyDescent="0.2">
      <c r="A36" s="1">
        <v>45231</v>
      </c>
      <c r="B36" s="5">
        <v>156.08000000000001</v>
      </c>
      <c r="C36" s="5">
        <v>139.25</v>
      </c>
      <c r="D36" s="5">
        <v>156.13</v>
      </c>
      <c r="E36" s="5">
        <v>138.47</v>
      </c>
      <c r="F36" t="s">
        <v>103</v>
      </c>
      <c r="G36">
        <v>0.12239999999999999</v>
      </c>
      <c r="H36" s="4">
        <f>(JPMorgan_Stock_Price_History__2[[#This Row],[Price]]-JPMorgan_Stock_Price_History__2[[#This Row],[Open]])/JPMorgan_Stock_Price_History__2[[#This Row],[Open]]</f>
        <v>0.12086175942549381</v>
      </c>
    </row>
    <row r="37" spans="1:8" x14ac:dyDescent="0.2">
      <c r="A37" s="1">
        <v>45261</v>
      </c>
      <c r="B37" s="5">
        <v>170.1</v>
      </c>
      <c r="C37" s="5">
        <v>155.82</v>
      </c>
      <c r="D37" s="5">
        <v>170.69</v>
      </c>
      <c r="E37" s="5">
        <v>155.82</v>
      </c>
      <c r="F37" t="s">
        <v>104</v>
      </c>
      <c r="G37">
        <v>8.9800000000000005E-2</v>
      </c>
      <c r="H37" s="4">
        <f>(JPMorgan_Stock_Price_History__2[[#This Row],[Price]]-JPMorgan_Stock_Price_History__2[[#This Row],[Open]])/JPMorgan_Stock_Price_History__2[[#This Row],[Open]]</f>
        <v>9.1644204851752037E-2</v>
      </c>
    </row>
    <row r="38" spans="1:8" x14ac:dyDescent="0.2">
      <c r="A38" s="1">
        <v>45292</v>
      </c>
      <c r="B38" s="5">
        <v>174.36</v>
      </c>
      <c r="C38" s="5">
        <v>169.09</v>
      </c>
      <c r="D38" s="5">
        <v>178.3</v>
      </c>
      <c r="E38" s="5">
        <v>164.3</v>
      </c>
      <c r="F38" t="s">
        <v>105</v>
      </c>
      <c r="G38">
        <v>2.5000000000000001E-2</v>
      </c>
      <c r="H38" s="4">
        <f>(JPMorgan_Stock_Price_History__2[[#This Row],[Price]]-JPMorgan_Stock_Price_History__2[[#This Row],[Open]])/JPMorgan_Stock_Price_History__2[[#This Row],[Open]]</f>
        <v>3.116683423029162E-2</v>
      </c>
    </row>
    <row r="39" spans="1:8" x14ac:dyDescent="0.2">
      <c r="A39" s="1">
        <v>45323</v>
      </c>
      <c r="B39" s="5">
        <v>186.06</v>
      </c>
      <c r="C39" s="5">
        <v>173.64</v>
      </c>
      <c r="D39" s="5">
        <v>186.43</v>
      </c>
      <c r="E39" s="5">
        <v>171.43</v>
      </c>
      <c r="F39" t="s">
        <v>106</v>
      </c>
      <c r="G39">
        <v>6.7100000000000007E-2</v>
      </c>
      <c r="H39" s="4">
        <f>(JPMorgan_Stock_Price_History__2[[#This Row],[Price]]-JPMorgan_Stock_Price_History__2[[#This Row],[Open]])/JPMorgan_Stock_Price_History__2[[#This Row],[Open]]</f>
        <v>7.152729785763659E-2</v>
      </c>
    </row>
    <row r="40" spans="1:8" x14ac:dyDescent="0.2">
      <c r="A40" s="1">
        <v>45352</v>
      </c>
      <c r="B40" s="5">
        <v>200.3</v>
      </c>
      <c r="C40" s="5">
        <v>185.7</v>
      </c>
      <c r="D40" s="5">
        <v>200.72</v>
      </c>
      <c r="E40" s="5">
        <v>184.27</v>
      </c>
      <c r="F40" t="s">
        <v>107</v>
      </c>
      <c r="G40">
        <v>7.6499999999999999E-2</v>
      </c>
      <c r="H40" s="4">
        <f>(JPMorgan_Stock_Price_History__2[[#This Row],[Price]]-JPMorgan_Stock_Price_History__2[[#This Row],[Open]])/JPMorgan_Stock_Price_History__2[[#This Row],[Open]]</f>
        <v>7.8621432417878431E-2</v>
      </c>
    </row>
    <row r="41" spans="1:8" x14ac:dyDescent="0.2">
      <c r="A41" s="1">
        <v>45383</v>
      </c>
      <c r="B41" s="5">
        <v>191.74</v>
      </c>
      <c r="C41" s="5">
        <v>199.99</v>
      </c>
      <c r="D41" s="5">
        <v>200.94</v>
      </c>
      <c r="E41" s="5">
        <v>179.2</v>
      </c>
      <c r="F41" t="s">
        <v>108</v>
      </c>
      <c r="G41">
        <v>-4.2700000000000002E-2</v>
      </c>
      <c r="H41" s="4">
        <f>(JPMorgan_Stock_Price_History__2[[#This Row],[Price]]-JPMorgan_Stock_Price_History__2[[#This Row],[Open]])/JPMorgan_Stock_Price_History__2[[#This Row],[Open]]</f>
        <v>-4.1252062603130156E-2</v>
      </c>
    </row>
    <row r="42" spans="1:8" x14ac:dyDescent="0.2">
      <c r="A42" s="1">
        <v>45413</v>
      </c>
      <c r="B42" s="5">
        <v>202.63</v>
      </c>
      <c r="C42" s="5">
        <v>192.27</v>
      </c>
      <c r="D42" s="5">
        <v>205.88</v>
      </c>
      <c r="E42" s="5">
        <v>188.46</v>
      </c>
      <c r="F42" t="s">
        <v>109</v>
      </c>
      <c r="G42">
        <v>5.6800000000000003E-2</v>
      </c>
      <c r="H42" s="4">
        <f>(JPMorgan_Stock_Price_History__2[[#This Row],[Price]]-JPMorgan_Stock_Price_History__2[[#This Row],[Open]])/JPMorgan_Stock_Price_History__2[[#This Row],[Open]]</f>
        <v>5.3882560981952383E-2</v>
      </c>
    </row>
    <row r="43" spans="1:8" x14ac:dyDescent="0.2">
      <c r="A43" s="1">
        <v>45444</v>
      </c>
      <c r="B43" s="5">
        <v>202.26</v>
      </c>
      <c r="C43" s="5">
        <v>202.31</v>
      </c>
      <c r="D43" s="5">
        <v>202.6</v>
      </c>
      <c r="E43" s="5">
        <v>190.88</v>
      </c>
      <c r="F43" t="s">
        <v>110</v>
      </c>
      <c r="G43">
        <v>-1.8E-3</v>
      </c>
      <c r="H43" s="4">
        <f>(JPMorgan_Stock_Price_History__2[[#This Row],[Price]]-JPMorgan_Stock_Price_History__2[[#This Row],[Open]])/JPMorgan_Stock_Price_History__2[[#This Row],[Open]]</f>
        <v>-2.471454698235943E-4</v>
      </c>
    </row>
    <row r="44" spans="1:8" x14ac:dyDescent="0.2">
      <c r="A44" s="1">
        <v>45474</v>
      </c>
      <c r="B44" s="5">
        <v>212.8</v>
      </c>
      <c r="C44" s="5">
        <v>202.84</v>
      </c>
      <c r="D44" s="5">
        <v>217.56</v>
      </c>
      <c r="E44" s="5">
        <v>202.1</v>
      </c>
      <c r="F44" t="s">
        <v>111</v>
      </c>
      <c r="G44">
        <v>5.21E-2</v>
      </c>
      <c r="H44" s="4">
        <f>(JPMorgan_Stock_Price_History__2[[#This Row],[Price]]-JPMorgan_Stock_Price_History__2[[#This Row],[Open]])/JPMorgan_Stock_Price_History__2[[#This Row],[Open]]</f>
        <v>4.9102741076710747E-2</v>
      </c>
    </row>
    <row r="45" spans="1:8" x14ac:dyDescent="0.2">
      <c r="A45" s="1">
        <v>45505</v>
      </c>
      <c r="B45" s="5">
        <v>224.8</v>
      </c>
      <c r="C45" s="5">
        <v>213.2</v>
      </c>
      <c r="D45" s="5">
        <v>225.48</v>
      </c>
      <c r="E45" s="5">
        <v>190.9</v>
      </c>
      <c r="F45" t="s">
        <v>112</v>
      </c>
      <c r="G45">
        <v>5.6399999999999999E-2</v>
      </c>
      <c r="H45" s="4">
        <f>(JPMorgan_Stock_Price_History__2[[#This Row],[Price]]-JPMorgan_Stock_Price_History__2[[#This Row],[Open]])/JPMorgan_Stock_Price_History__2[[#This Row],[Open]]</f>
        <v>5.4409005628517935E-2</v>
      </c>
    </row>
    <row r="46" spans="1:8" x14ac:dyDescent="0.2">
      <c r="A46" s="1">
        <v>45536</v>
      </c>
      <c r="B46" s="5">
        <v>210.86</v>
      </c>
      <c r="C46" s="5">
        <v>222.3</v>
      </c>
      <c r="D46" s="5">
        <v>224.1</v>
      </c>
      <c r="E46" s="5">
        <v>200.61</v>
      </c>
      <c r="F46" t="s">
        <v>113</v>
      </c>
      <c r="G46">
        <v>-6.2E-2</v>
      </c>
      <c r="H46" s="4">
        <f>(JPMorgan_Stock_Price_History__2[[#This Row],[Price]]-JPMorgan_Stock_Price_History__2[[#This Row],[Open]])/JPMorgan_Stock_Price_History__2[[#This Row],[Open]]</f>
        <v>-5.1461988304093556E-2</v>
      </c>
    </row>
    <row r="47" spans="1:8" x14ac:dyDescent="0.2">
      <c r="A47" s="1">
        <v>45566</v>
      </c>
      <c r="B47" s="5">
        <v>221.92</v>
      </c>
      <c r="C47" s="5">
        <v>208.9</v>
      </c>
      <c r="D47" s="5">
        <v>226.75</v>
      </c>
      <c r="E47" s="5">
        <v>204.34</v>
      </c>
      <c r="F47" t="s">
        <v>114</v>
      </c>
      <c r="G47">
        <v>5.2499999999999998E-2</v>
      </c>
      <c r="H47" s="4">
        <f>(JPMorgan_Stock_Price_History__2[[#This Row],[Price]]-JPMorgan_Stock_Price_History__2[[#This Row],[Open]])/JPMorgan_Stock_Price_History__2[[#This Row],[Open]]</f>
        <v>6.2326471996170328E-2</v>
      </c>
    </row>
    <row r="48" spans="1:8" x14ac:dyDescent="0.2">
      <c r="A48" s="1">
        <v>45597</v>
      </c>
      <c r="B48" s="5">
        <v>249.72</v>
      </c>
      <c r="C48" s="5">
        <v>223.56</v>
      </c>
      <c r="D48" s="5">
        <v>254.31</v>
      </c>
      <c r="E48" s="5">
        <v>219.17</v>
      </c>
      <c r="F48" t="s">
        <v>115</v>
      </c>
      <c r="G48">
        <v>0.12529999999999999</v>
      </c>
      <c r="H48" s="4">
        <f>(JPMorgan_Stock_Price_History__2[[#This Row],[Price]]-JPMorgan_Stock_Price_History__2[[#This Row],[Open]])/JPMorgan_Stock_Price_History__2[[#This Row],[Open]]</f>
        <v>0.11701556629092859</v>
      </c>
    </row>
    <row r="49" spans="1:8" x14ac:dyDescent="0.2">
      <c r="A49" s="1">
        <v>45627</v>
      </c>
      <c r="B49" s="5">
        <v>239.71</v>
      </c>
      <c r="C49" s="5">
        <v>249.55</v>
      </c>
      <c r="D49" s="5">
        <v>250.25</v>
      </c>
      <c r="E49" s="5">
        <v>229.53</v>
      </c>
      <c r="F49" t="s">
        <v>116</v>
      </c>
      <c r="G49">
        <v>-4.0099999999999997E-2</v>
      </c>
      <c r="H49" s="4">
        <f>(JPMorgan_Stock_Price_History__2[[#This Row],[Price]]-JPMorgan_Stock_Price_History__2[[#This Row],[Open]])/JPMorgan_Stock_Price_History__2[[#This Row],[Open]]</f>
        <v>-3.943097575636146E-2</v>
      </c>
    </row>
    <row r="50" spans="1:8" x14ac:dyDescent="0.2">
      <c r="A50" s="1">
        <v>45658</v>
      </c>
      <c r="B50" s="5">
        <v>267.3</v>
      </c>
      <c r="C50" s="5">
        <v>240.92</v>
      </c>
      <c r="D50" s="5">
        <v>270.82</v>
      </c>
      <c r="E50" s="5">
        <v>238.74</v>
      </c>
      <c r="F50" t="s">
        <v>117</v>
      </c>
      <c r="G50">
        <v>0.11509999999999999</v>
      </c>
      <c r="H50" s="4">
        <f>(JPMorgan_Stock_Price_History__2[[#This Row],[Price]]-JPMorgan_Stock_Price_History__2[[#This Row],[Open]])/JPMorgan_Stock_Price_History__2[[#This Row],[Open]]</f>
        <v>0.10949692844097636</v>
      </c>
    </row>
    <row r="51" spans="1:8" x14ac:dyDescent="0.2">
      <c r="A51" s="1">
        <v>45689</v>
      </c>
      <c r="B51" s="5">
        <v>264.64999999999998</v>
      </c>
      <c r="C51" s="5">
        <v>261.83</v>
      </c>
      <c r="D51" s="5">
        <v>280.25</v>
      </c>
      <c r="E51" s="5">
        <v>253.35</v>
      </c>
      <c r="F51" t="s">
        <v>118</v>
      </c>
      <c r="G51">
        <v>-9.9000000000000008E-3</v>
      </c>
      <c r="H51" s="4">
        <f>(JPMorgan_Stock_Price_History__2[[#This Row],[Price]]-JPMorgan_Stock_Price_History__2[[#This Row],[Open]])/JPMorgan_Stock_Price_History__2[[#This Row],[Open]]</f>
        <v>1.0770347171829025E-2</v>
      </c>
    </row>
    <row r="52" spans="1:8" x14ac:dyDescent="0.2">
      <c r="A52" s="1">
        <v>45717</v>
      </c>
      <c r="B52" s="5">
        <v>245.3</v>
      </c>
      <c r="C52" s="5">
        <v>264</v>
      </c>
      <c r="D52" s="5">
        <v>266.32</v>
      </c>
      <c r="E52" s="5">
        <v>224.23</v>
      </c>
      <c r="F52" t="s">
        <v>119</v>
      </c>
      <c r="G52">
        <v>-7.3099999999999998E-2</v>
      </c>
      <c r="H52" s="4">
        <f>(JPMorgan_Stock_Price_History__2[[#This Row],[Price]]-JPMorgan_Stock_Price_History__2[[#This Row],[Open]])/JPMorgan_Stock_Price_History__2[[#This Row],[Open]]</f>
        <v>-7.083333333333329E-2</v>
      </c>
    </row>
    <row r="53" spans="1:8" x14ac:dyDescent="0.2">
      <c r="A53" s="1">
        <v>45748</v>
      </c>
      <c r="B53" s="5">
        <v>244.62</v>
      </c>
      <c r="C53" s="5">
        <v>242.62</v>
      </c>
      <c r="D53" s="5">
        <v>247.24</v>
      </c>
      <c r="E53" s="5">
        <v>202.16</v>
      </c>
      <c r="F53" t="s">
        <v>120</v>
      </c>
      <c r="G53">
        <v>-2.8E-3</v>
      </c>
      <c r="H53" s="4">
        <f>(JPMorgan_Stock_Price_History__2[[#This Row],[Price]]-JPMorgan_Stock_Price_History__2[[#This Row],[Open]])/JPMorgan_Stock_Price_History__2[[#This Row],[Open]]</f>
        <v>8.2433435001236493E-3</v>
      </c>
    </row>
    <row r="54" spans="1:8" x14ac:dyDescent="0.2">
      <c r="A54" s="1">
        <v>45778</v>
      </c>
      <c r="B54" s="5">
        <v>264</v>
      </c>
      <c r="C54" s="5">
        <v>242.84</v>
      </c>
      <c r="D54" s="5">
        <v>269.52</v>
      </c>
      <c r="E54" s="5">
        <v>242.17</v>
      </c>
      <c r="F54" t="s">
        <v>121</v>
      </c>
      <c r="G54">
        <v>7.9200000000000007E-2</v>
      </c>
      <c r="H54" s="4">
        <f>(JPMorgan_Stock_Price_History__2[[#This Row],[Price]]-JPMorgan_Stock_Price_History__2[[#This Row],[Open]])/JPMorgan_Stock_Price_History__2[[#This Row],[Open]]</f>
        <v>8.7135562510294834E-2</v>
      </c>
    </row>
    <row r="55" spans="1:8" x14ac:dyDescent="0.2">
      <c r="A55" s="1">
        <v>45809</v>
      </c>
      <c r="B55" s="5">
        <v>289.91000000000003</v>
      </c>
      <c r="C55" s="5">
        <v>263.02</v>
      </c>
      <c r="D55" s="5">
        <v>292.64999999999998</v>
      </c>
      <c r="E55" s="5">
        <v>260.31</v>
      </c>
      <c r="F55" t="s">
        <v>122</v>
      </c>
      <c r="G55">
        <v>9.8100000000000007E-2</v>
      </c>
      <c r="H55" s="4">
        <f>(JPMorgan_Stock_Price_History__2[[#This Row],[Price]]-JPMorgan_Stock_Price_History__2[[#This Row],[Open]])/JPMorgan_Stock_Price_History__2[[#This Row],[Open]]</f>
        <v>0.10223557143943443</v>
      </c>
    </row>
    <row r="56" spans="1:8" x14ac:dyDescent="0.2">
      <c r="A56" s="1">
        <v>45839</v>
      </c>
      <c r="B56" s="5">
        <v>296.24</v>
      </c>
      <c r="C56" s="5">
        <v>290.89</v>
      </c>
      <c r="D56" s="5">
        <v>301.29000000000002</v>
      </c>
      <c r="E56" s="5">
        <v>280.31</v>
      </c>
      <c r="F56" t="s">
        <v>123</v>
      </c>
      <c r="G56">
        <v>2.18E-2</v>
      </c>
      <c r="H56" s="4">
        <f>(JPMorgan_Stock_Price_History__2[[#This Row],[Price]]-JPMorgan_Stock_Price_History__2[[#This Row],[Open]])/JPMorgan_Stock_Price_History__2[[#This Row],[Open]]</f>
        <v>1.8391831963972715E-2</v>
      </c>
    </row>
    <row r="57" spans="1:8" x14ac:dyDescent="0.2">
      <c r="A57" s="1">
        <v>45870</v>
      </c>
      <c r="B57" s="5">
        <v>301.42</v>
      </c>
      <c r="C57" s="5">
        <v>290.39999999999998</v>
      </c>
      <c r="D57" s="5">
        <v>302.95</v>
      </c>
      <c r="E57" s="5">
        <v>284.24</v>
      </c>
      <c r="F57" t="s">
        <v>124</v>
      </c>
      <c r="G57">
        <v>1.7500000000000002E-2</v>
      </c>
      <c r="H57" s="4">
        <f>(JPMorgan_Stock_Price_History__2[[#This Row],[Price]]-JPMorgan_Stock_Price_History__2[[#This Row],[Open]])/JPMorgan_Stock_Price_History__2[[#This Row],[Open]]</f>
        <v>3.7947658402203994E-2</v>
      </c>
    </row>
    <row r="58" spans="1:8" x14ac:dyDescent="0.2">
      <c r="A58" s="1">
        <v>45901</v>
      </c>
      <c r="B58" s="5">
        <v>315.43</v>
      </c>
      <c r="C58" s="5">
        <v>300.26</v>
      </c>
      <c r="D58" s="5">
        <v>318.01</v>
      </c>
      <c r="E58" s="5">
        <v>291.44</v>
      </c>
      <c r="F58" t="s">
        <v>125</v>
      </c>
      <c r="G58">
        <v>4.65E-2</v>
      </c>
      <c r="H58" s="4">
        <f>(JPMorgan_Stock_Price_History__2[[#This Row],[Price]]-JPMorgan_Stock_Price_History__2[[#This Row],[Open]])/JPMorgan_Stock_Price_History__2[[#This Row],[Open]]</f>
        <v>5.0522880170518938E-2</v>
      </c>
    </row>
    <row r="59" spans="1:8" x14ac:dyDescent="0.2">
      <c r="A59" s="1">
        <v>45931</v>
      </c>
      <c r="B59" s="5">
        <v>311.12</v>
      </c>
      <c r="C59" s="5">
        <v>313.97000000000003</v>
      </c>
      <c r="D59" s="5">
        <v>314.58999999999997</v>
      </c>
      <c r="E59" s="5">
        <v>290.54000000000002</v>
      </c>
      <c r="F59" t="s">
        <v>126</v>
      </c>
      <c r="G59">
        <v>-1.37E-2</v>
      </c>
      <c r="H59" s="4">
        <f>(JPMorgan_Stock_Price_History__2[[#This Row],[Price]]-JPMorgan_Stock_Price_History__2[[#This Row],[Open]])/JPMorgan_Stock_Price_History__2[[#This Row],[Open]]</f>
        <v>-9.0773003790171752E-3</v>
      </c>
    </row>
    <row r="60" spans="1:8" x14ac:dyDescent="0.2">
      <c r="A60" s="1">
        <v>45962</v>
      </c>
      <c r="B60" s="5">
        <v>313.08</v>
      </c>
      <c r="C60" s="5">
        <v>311</v>
      </c>
      <c r="D60" s="5">
        <v>322.25</v>
      </c>
      <c r="E60" s="5">
        <v>292.81</v>
      </c>
      <c r="F60" t="s">
        <v>127</v>
      </c>
      <c r="G60">
        <v>6.3E-3</v>
      </c>
      <c r="H60" s="4">
        <f>(JPMorgan_Stock_Price_History__2[[#This Row],[Price]]-JPMorgan_Stock_Price_History__2[[#This Row],[Open]])/JPMorgan_Stock_Price_History__2[[#This Row],[Open]]</f>
        <v>6.6881028938906243E-3</v>
      </c>
    </row>
    <row r="61" spans="1:8" x14ac:dyDescent="0.2">
      <c r="A61" s="1">
        <v>45992</v>
      </c>
      <c r="B61" s="5">
        <v>322.22000000000003</v>
      </c>
      <c r="C61" s="5">
        <v>312.95</v>
      </c>
      <c r="D61" s="5">
        <v>330.86</v>
      </c>
      <c r="E61" s="5">
        <v>298.45999999999998</v>
      </c>
      <c r="F61" t="s">
        <v>128</v>
      </c>
      <c r="G61">
        <v>2.92E-2</v>
      </c>
      <c r="H61" s="4">
        <f>(JPMorgan_Stock_Price_History__2[[#This Row],[Price]]-JPMorgan_Stock_Price_History__2[[#This Row],[Open]])/JPMorgan_Stock_Price_History__2[[#This Row],[Open]]</f>
        <v>2.9621345262821661E-2</v>
      </c>
    </row>
    <row r="62" spans="1:8" x14ac:dyDescent="0.2">
      <c r="A62" s="1">
        <v>46023</v>
      </c>
      <c r="B62" s="5">
        <v>305.89</v>
      </c>
      <c r="C62" s="5">
        <v>322.5</v>
      </c>
      <c r="D62" s="5">
        <v>337.25</v>
      </c>
      <c r="E62" s="5">
        <v>296.51</v>
      </c>
      <c r="F62" t="s">
        <v>129</v>
      </c>
      <c r="G62">
        <v>-5.0700000000000002E-2</v>
      </c>
      <c r="H62" s="4">
        <f>(JPMorgan_Stock_Price_History__2[[#This Row],[Price]]-JPMorgan_Stock_Price_History__2[[#This Row],[Open]])/JPMorgan_Stock_Price_History__2[[#This Row],[Open]]</f>
        <v>-5.1503875968992294E-2</v>
      </c>
    </row>
    <row r="63" spans="1:8" x14ac:dyDescent="0.2">
      <c r="A63" s="1">
        <v>46054</v>
      </c>
      <c r="B63" s="5">
        <v>300.3</v>
      </c>
      <c r="C63" s="5">
        <v>304.45999999999998</v>
      </c>
      <c r="D63" s="5">
        <v>326.39999999999998</v>
      </c>
      <c r="E63" s="5">
        <v>291.38</v>
      </c>
      <c r="F63" t="s">
        <v>130</v>
      </c>
      <c r="G63">
        <v>-1.83E-2</v>
      </c>
      <c r="H63" s="4">
        <f>(JPMorgan_Stock_Price_History__2[[#This Row],[Price]]-JPMorgan_Stock_Price_History__2[[#This Row],[Open]])/JPMorgan_Stock_Price_History__2[[#This Row],[Open]]</f>
        <v>-1.3663535439794943E-2</v>
      </c>
    </row>
    <row r="64" spans="1:8" x14ac:dyDescent="0.2">
      <c r="A64" s="1">
        <v>46082</v>
      </c>
      <c r="B64" s="5">
        <v>294.16000000000003</v>
      </c>
      <c r="C64" s="5">
        <v>294.81</v>
      </c>
      <c r="D64" s="5">
        <v>302.39</v>
      </c>
      <c r="E64" s="5">
        <v>279.10000000000002</v>
      </c>
      <c r="F64" t="s">
        <v>131</v>
      </c>
      <c r="G64">
        <v>-2.0400000000000001E-2</v>
      </c>
      <c r="H64" s="4">
        <f>(JPMorgan_Stock_Price_History__2[[#This Row],[Price]]-JPMorgan_Stock_Price_History__2[[#This Row],[Open]])/JPMorgan_Stock_Price_History__2[[#This Row],[Open]]</f>
        <v>-2.2048098775481742E-3</v>
      </c>
    </row>
    <row r="65" spans="1:8" x14ac:dyDescent="0.2">
      <c r="A65" s="1">
        <v>46113</v>
      </c>
      <c r="B65" s="5">
        <v>311.57</v>
      </c>
      <c r="C65" s="5">
        <v>295.39</v>
      </c>
      <c r="D65" s="5">
        <v>320.23</v>
      </c>
      <c r="E65" s="5">
        <v>288.72000000000003</v>
      </c>
      <c r="F65" t="s">
        <v>132</v>
      </c>
      <c r="G65">
        <v>5.9200000000000003E-2</v>
      </c>
      <c r="H65" s="4">
        <f>(JPMorgan_Stock_Price_History__2[[#This Row],[Price]]-JPMorgan_Stock_Price_History__2[[#This Row],[Open]])/JPMorgan_Stock_Price_History__2[[#This Row],[Open]]</f>
        <v>5.4775043163275694E-2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30A6E-78A3-4B42-BDEE-8BF9D93F237D}">
  <sheetPr codeName="Sheet3"/>
  <dimension ref="A1:H65"/>
  <sheetViews>
    <sheetView workbookViewId="0">
      <selection activeCell="H1" sqref="H1"/>
    </sheetView>
  </sheetViews>
  <sheetFormatPr baseColWidth="10" defaultColWidth="11.5" defaultRowHeight="15" x14ac:dyDescent="0.2"/>
  <cols>
    <col min="1" max="1" width="10.5" bestFit="1" customWidth="1"/>
    <col min="2" max="5" width="9.1640625" bestFit="1" customWidth="1"/>
    <col min="6" max="6" width="9" bestFit="1" customWidth="1"/>
    <col min="7" max="7" width="12" bestFit="1" customWidth="1"/>
    <col min="8" max="8" width="35.832031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s="1">
        <v>44197</v>
      </c>
      <c r="B2" s="5">
        <v>163.13</v>
      </c>
      <c r="C2" s="5">
        <v>157.24</v>
      </c>
      <c r="D2" s="5">
        <v>173.65</v>
      </c>
      <c r="E2" s="5">
        <v>154.13</v>
      </c>
      <c r="F2" t="s">
        <v>133</v>
      </c>
      <c r="G2">
        <v>3.6499999999999998E-2</v>
      </c>
      <c r="H2" s="4">
        <f>(J_J_Stock_Price_History__2[[#This Row],[Price]]-J_J_Stock_Price_History__2[[#This Row],[Open]])/J_J_Stock_Price_History__2[[#This Row],[Open]]</f>
        <v>3.7458661918086909E-2</v>
      </c>
    </row>
    <row r="3" spans="1:8" x14ac:dyDescent="0.2">
      <c r="A3" s="1">
        <v>44228</v>
      </c>
      <c r="B3" s="5">
        <v>158.46</v>
      </c>
      <c r="C3" s="5">
        <v>165.31</v>
      </c>
      <c r="D3" s="5">
        <v>167.94</v>
      </c>
      <c r="E3" s="5">
        <v>157.97</v>
      </c>
      <c r="F3" t="s">
        <v>134</v>
      </c>
      <c r="G3">
        <v>-2.86E-2</v>
      </c>
      <c r="H3" s="4">
        <f>(J_J_Stock_Price_History__2[[#This Row],[Price]]-J_J_Stock_Price_History__2[[#This Row],[Open]])/J_J_Stock_Price_History__2[[#This Row],[Open]]</f>
        <v>-4.1437299618897791E-2</v>
      </c>
    </row>
    <row r="4" spans="1:8" x14ac:dyDescent="0.2">
      <c r="A4" s="1">
        <v>44256</v>
      </c>
      <c r="B4" s="5">
        <v>164.35</v>
      </c>
      <c r="C4" s="5">
        <v>161.44999999999999</v>
      </c>
      <c r="D4" s="5">
        <v>167.03</v>
      </c>
      <c r="E4" s="5">
        <v>151.47</v>
      </c>
      <c r="F4" t="s">
        <v>135</v>
      </c>
      <c r="G4">
        <v>3.7199999999999997E-2</v>
      </c>
      <c r="H4" s="4">
        <f>(J_J_Stock_Price_History__2[[#This Row],[Price]]-J_J_Stock_Price_History__2[[#This Row],[Open]])/J_J_Stock_Price_History__2[[#This Row],[Open]]</f>
        <v>1.7962217404769314E-2</v>
      </c>
    </row>
    <row r="5" spans="1:8" x14ac:dyDescent="0.2">
      <c r="A5" s="1">
        <v>44287</v>
      </c>
      <c r="B5" s="5">
        <v>162.72999999999999</v>
      </c>
      <c r="C5" s="5">
        <v>162.6</v>
      </c>
      <c r="D5" s="5">
        <v>167.79</v>
      </c>
      <c r="E5" s="5">
        <v>156.53</v>
      </c>
      <c r="F5" t="s">
        <v>136</v>
      </c>
      <c r="G5">
        <v>-9.9000000000000008E-3</v>
      </c>
      <c r="H5" s="4">
        <f>(J_J_Stock_Price_History__2[[#This Row],[Price]]-J_J_Stock_Price_History__2[[#This Row],[Open]])/J_J_Stock_Price_History__2[[#This Row],[Open]]</f>
        <v>7.9950799507992284E-4</v>
      </c>
    </row>
    <row r="6" spans="1:8" x14ac:dyDescent="0.2">
      <c r="A6" s="1">
        <v>44317</v>
      </c>
      <c r="B6" s="5">
        <v>169.25</v>
      </c>
      <c r="C6" s="5">
        <v>163.6</v>
      </c>
      <c r="D6" s="5">
        <v>172.74</v>
      </c>
      <c r="E6" s="5">
        <v>163.12</v>
      </c>
      <c r="F6" t="s">
        <v>137</v>
      </c>
      <c r="G6">
        <v>4.0099999999999997E-2</v>
      </c>
      <c r="H6" s="4">
        <f>(J_J_Stock_Price_History__2[[#This Row],[Price]]-J_J_Stock_Price_History__2[[#This Row],[Open]])/J_J_Stock_Price_History__2[[#This Row],[Open]]</f>
        <v>3.4535452322738421E-2</v>
      </c>
    </row>
    <row r="7" spans="1:8" x14ac:dyDescent="0.2">
      <c r="A7" s="1">
        <v>44348</v>
      </c>
      <c r="B7" s="5">
        <v>164.74</v>
      </c>
      <c r="C7" s="5">
        <v>170.15</v>
      </c>
      <c r="D7" s="5">
        <v>170.2</v>
      </c>
      <c r="E7" s="5">
        <v>161.79</v>
      </c>
      <c r="F7" t="s">
        <v>138</v>
      </c>
      <c r="G7">
        <v>-2.6599999999999999E-2</v>
      </c>
      <c r="H7" s="4">
        <f>(J_J_Stock_Price_History__2[[#This Row],[Price]]-J_J_Stock_Price_History__2[[#This Row],[Open]])/J_J_Stock_Price_History__2[[#This Row],[Open]]</f>
        <v>-3.1795474581251815E-2</v>
      </c>
    </row>
    <row r="8" spans="1:8" x14ac:dyDescent="0.2">
      <c r="A8" s="1">
        <v>44378</v>
      </c>
      <c r="B8" s="5">
        <v>172.2</v>
      </c>
      <c r="C8" s="5">
        <v>164.74</v>
      </c>
      <c r="D8" s="5">
        <v>173.38</v>
      </c>
      <c r="E8" s="5">
        <v>164.63</v>
      </c>
      <c r="F8" t="s">
        <v>139</v>
      </c>
      <c r="G8">
        <v>4.53E-2</v>
      </c>
      <c r="H8" s="4">
        <f>(J_J_Stock_Price_History__2[[#This Row],[Price]]-J_J_Stock_Price_History__2[[#This Row],[Open]])/J_J_Stock_Price_History__2[[#This Row],[Open]]</f>
        <v>4.5283476994051108E-2</v>
      </c>
    </row>
    <row r="9" spans="1:8" x14ac:dyDescent="0.2">
      <c r="A9" s="1">
        <v>44409</v>
      </c>
      <c r="B9" s="5">
        <v>173.13</v>
      </c>
      <c r="C9" s="5">
        <v>172.47</v>
      </c>
      <c r="D9" s="5">
        <v>179.92</v>
      </c>
      <c r="E9" s="5">
        <v>171.3</v>
      </c>
      <c r="F9" t="s">
        <v>140</v>
      </c>
      <c r="G9">
        <v>5.4000000000000003E-3</v>
      </c>
      <c r="H9" s="4">
        <f>(J_J_Stock_Price_History__2[[#This Row],[Price]]-J_J_Stock_Price_History__2[[#This Row],[Open]])/J_J_Stock_Price_History__2[[#This Row],[Open]]</f>
        <v>3.8267524786919265E-3</v>
      </c>
    </row>
    <row r="10" spans="1:8" x14ac:dyDescent="0.2">
      <c r="A10" s="1">
        <v>44440</v>
      </c>
      <c r="B10" s="5">
        <v>161.5</v>
      </c>
      <c r="C10" s="5">
        <v>172.9</v>
      </c>
      <c r="D10" s="5">
        <v>175.22</v>
      </c>
      <c r="E10" s="5">
        <v>161.41</v>
      </c>
      <c r="F10" t="s">
        <v>141</v>
      </c>
      <c r="G10">
        <v>-6.7199999999999996E-2</v>
      </c>
      <c r="H10" s="4">
        <f>(J_J_Stock_Price_History__2[[#This Row],[Price]]-J_J_Stock_Price_History__2[[#This Row],[Open]])/J_J_Stock_Price_History__2[[#This Row],[Open]]</f>
        <v>-6.5934065934065963E-2</v>
      </c>
    </row>
    <row r="11" spans="1:8" x14ac:dyDescent="0.2">
      <c r="A11" s="1">
        <v>44470</v>
      </c>
      <c r="B11" s="5">
        <v>162.88</v>
      </c>
      <c r="C11" s="5">
        <v>161.53</v>
      </c>
      <c r="D11" s="5">
        <v>166.03</v>
      </c>
      <c r="E11" s="5">
        <v>157.34</v>
      </c>
      <c r="F11" t="s">
        <v>142</v>
      </c>
      <c r="G11">
        <v>8.5000000000000006E-3</v>
      </c>
      <c r="H11" s="4">
        <f>(J_J_Stock_Price_History__2[[#This Row],[Price]]-J_J_Stock_Price_History__2[[#This Row],[Open]])/J_J_Stock_Price_History__2[[#This Row],[Open]]</f>
        <v>8.3575806351760939E-3</v>
      </c>
    </row>
    <row r="12" spans="1:8" x14ac:dyDescent="0.2">
      <c r="A12" s="1">
        <v>44501</v>
      </c>
      <c r="B12" s="5">
        <v>155.93</v>
      </c>
      <c r="C12" s="5">
        <v>163.16</v>
      </c>
      <c r="D12" s="5">
        <v>167.62</v>
      </c>
      <c r="E12" s="5">
        <v>155.85</v>
      </c>
      <c r="F12" t="s">
        <v>143</v>
      </c>
      <c r="G12">
        <v>-4.2700000000000002E-2</v>
      </c>
      <c r="H12" s="4">
        <f>(J_J_Stock_Price_History__2[[#This Row],[Price]]-J_J_Stock_Price_History__2[[#This Row],[Open]])/J_J_Stock_Price_History__2[[#This Row],[Open]]</f>
        <v>-4.4312331453787629E-2</v>
      </c>
    </row>
    <row r="13" spans="1:8" x14ac:dyDescent="0.2">
      <c r="A13" s="1">
        <v>44531</v>
      </c>
      <c r="B13" s="5">
        <v>171.07</v>
      </c>
      <c r="C13" s="5">
        <v>156.88</v>
      </c>
      <c r="D13" s="5">
        <v>173.51</v>
      </c>
      <c r="E13" s="5">
        <v>156.25</v>
      </c>
      <c r="F13" t="s">
        <v>144</v>
      </c>
      <c r="G13">
        <v>9.7100000000000006E-2</v>
      </c>
      <c r="H13" s="4">
        <f>(J_J_Stock_Price_History__2[[#This Row],[Price]]-J_J_Stock_Price_History__2[[#This Row],[Open]])/J_J_Stock_Price_History__2[[#This Row],[Open]]</f>
        <v>9.0451300356960723E-2</v>
      </c>
    </row>
    <row r="14" spans="1:8" x14ac:dyDescent="0.2">
      <c r="A14" s="1">
        <v>44562</v>
      </c>
      <c r="B14" s="5">
        <v>172.29</v>
      </c>
      <c r="C14" s="5">
        <v>170.21</v>
      </c>
      <c r="D14" s="5">
        <v>174.3</v>
      </c>
      <c r="E14" s="5">
        <v>158.26</v>
      </c>
      <c r="F14" t="s">
        <v>145</v>
      </c>
      <c r="G14">
        <v>7.1000000000000004E-3</v>
      </c>
      <c r="H14" s="4">
        <f>(J_J_Stock_Price_History__2[[#This Row],[Price]]-J_J_Stock_Price_History__2[[#This Row],[Open]])/J_J_Stock_Price_History__2[[#This Row],[Open]]</f>
        <v>1.2220198578226801E-2</v>
      </c>
    </row>
    <row r="15" spans="1:8" x14ac:dyDescent="0.2">
      <c r="A15" s="1">
        <v>44593</v>
      </c>
      <c r="B15" s="5">
        <v>164.57</v>
      </c>
      <c r="C15" s="5">
        <v>171.74</v>
      </c>
      <c r="D15" s="5">
        <v>173.62</v>
      </c>
      <c r="E15" s="5">
        <v>155.72</v>
      </c>
      <c r="F15" t="s">
        <v>146</v>
      </c>
      <c r="G15">
        <v>-4.48E-2</v>
      </c>
      <c r="H15" s="4">
        <f>(J_J_Stock_Price_History__2[[#This Row],[Price]]-J_J_Stock_Price_History__2[[#This Row],[Open]])/J_J_Stock_Price_History__2[[#This Row],[Open]]</f>
        <v>-4.1749155700477554E-2</v>
      </c>
    </row>
    <row r="16" spans="1:8" x14ac:dyDescent="0.2">
      <c r="A16" s="1">
        <v>44621</v>
      </c>
      <c r="B16" s="5">
        <v>177.23</v>
      </c>
      <c r="C16" s="5">
        <v>163.04</v>
      </c>
      <c r="D16" s="5">
        <v>180.21</v>
      </c>
      <c r="E16" s="5">
        <v>162.41</v>
      </c>
      <c r="F16" t="s">
        <v>147</v>
      </c>
      <c r="G16">
        <v>7.6899999999999996E-2</v>
      </c>
      <c r="H16" s="4">
        <f>(J_J_Stock_Price_History__2[[#This Row],[Price]]-J_J_Stock_Price_History__2[[#This Row],[Open]])/J_J_Stock_Price_History__2[[#This Row],[Open]]</f>
        <v>8.7033856722276731E-2</v>
      </c>
    </row>
    <row r="17" spans="1:8" x14ac:dyDescent="0.2">
      <c r="A17" s="1">
        <v>44652</v>
      </c>
      <c r="B17" s="5">
        <v>180.46</v>
      </c>
      <c r="C17" s="5">
        <v>177.05</v>
      </c>
      <c r="D17" s="5">
        <v>186.69</v>
      </c>
      <c r="E17" s="5">
        <v>175.52</v>
      </c>
      <c r="F17" t="s">
        <v>148</v>
      </c>
      <c r="G17">
        <v>1.8200000000000001E-2</v>
      </c>
      <c r="H17" s="4">
        <f>(J_J_Stock_Price_History__2[[#This Row],[Price]]-J_J_Stock_Price_History__2[[#This Row],[Open]])/J_J_Stock_Price_History__2[[#This Row],[Open]]</f>
        <v>1.926009601807397E-2</v>
      </c>
    </row>
    <row r="18" spans="1:8" x14ac:dyDescent="0.2">
      <c r="A18" s="1">
        <v>44682</v>
      </c>
      <c r="B18" s="5">
        <v>179.53</v>
      </c>
      <c r="C18" s="5">
        <v>180.47</v>
      </c>
      <c r="D18" s="5">
        <v>181.74</v>
      </c>
      <c r="E18" s="5">
        <v>172.69</v>
      </c>
      <c r="F18" t="s">
        <v>149</v>
      </c>
      <c r="G18">
        <v>-5.1999999999999998E-3</v>
      </c>
      <c r="H18" s="4">
        <f>(J_J_Stock_Price_History__2[[#This Row],[Price]]-J_J_Stock_Price_History__2[[#This Row],[Open]])/J_J_Stock_Price_History__2[[#This Row],[Open]]</f>
        <v>-5.2086219316229716E-3</v>
      </c>
    </row>
    <row r="19" spans="1:8" x14ac:dyDescent="0.2">
      <c r="A19" s="1">
        <v>44713</v>
      </c>
      <c r="B19" s="5">
        <v>177.51</v>
      </c>
      <c r="C19" s="5">
        <v>179.15</v>
      </c>
      <c r="D19" s="5">
        <v>183.35</v>
      </c>
      <c r="E19" s="5">
        <v>167.26</v>
      </c>
      <c r="F19" t="s">
        <v>150</v>
      </c>
      <c r="G19">
        <v>-1.1299999999999999E-2</v>
      </c>
      <c r="H19" s="4">
        <f>(J_J_Stock_Price_History__2[[#This Row],[Price]]-J_J_Stock_Price_History__2[[#This Row],[Open]])/J_J_Stock_Price_History__2[[#This Row],[Open]]</f>
        <v>-9.1543399385990223E-3</v>
      </c>
    </row>
    <row r="20" spans="1:8" x14ac:dyDescent="0.2">
      <c r="A20" s="1">
        <v>44743</v>
      </c>
      <c r="B20" s="5">
        <v>174.52</v>
      </c>
      <c r="C20" s="5">
        <v>177.45</v>
      </c>
      <c r="D20" s="5">
        <v>179.99</v>
      </c>
      <c r="E20" s="5">
        <v>169.76</v>
      </c>
      <c r="F20" t="s">
        <v>151</v>
      </c>
      <c r="G20">
        <v>-1.6799999999999999E-2</v>
      </c>
      <c r="H20" s="4">
        <f>(J_J_Stock_Price_History__2[[#This Row],[Price]]-J_J_Stock_Price_History__2[[#This Row],[Open]])/J_J_Stock_Price_History__2[[#This Row],[Open]]</f>
        <v>-1.6511693434770238E-2</v>
      </c>
    </row>
    <row r="21" spans="1:8" x14ac:dyDescent="0.2">
      <c r="A21" s="1">
        <v>44774</v>
      </c>
      <c r="B21" s="5">
        <v>161.34</v>
      </c>
      <c r="C21" s="5">
        <v>174.17</v>
      </c>
      <c r="D21" s="5">
        <v>175.49</v>
      </c>
      <c r="E21" s="5">
        <v>161.27000000000001</v>
      </c>
      <c r="F21" t="s">
        <v>152</v>
      </c>
      <c r="G21">
        <v>-7.5499999999999998E-2</v>
      </c>
      <c r="H21" s="4">
        <f>(J_J_Stock_Price_History__2[[#This Row],[Price]]-J_J_Stock_Price_History__2[[#This Row],[Open]])/J_J_Stock_Price_History__2[[#This Row],[Open]]</f>
        <v>-7.3663661939484329E-2</v>
      </c>
    </row>
    <row r="22" spans="1:8" x14ac:dyDescent="0.2">
      <c r="A22" s="1">
        <v>44805</v>
      </c>
      <c r="B22" s="5">
        <v>163.36000000000001</v>
      </c>
      <c r="C22" s="5">
        <v>161.49</v>
      </c>
      <c r="D22" s="5">
        <v>167.67</v>
      </c>
      <c r="E22" s="5">
        <v>160.81</v>
      </c>
      <c r="F22" t="s">
        <v>153</v>
      </c>
      <c r="G22">
        <v>1.2500000000000001E-2</v>
      </c>
      <c r="H22" s="4">
        <f>(J_J_Stock_Price_History__2[[#This Row],[Price]]-J_J_Stock_Price_History__2[[#This Row],[Open]])/J_J_Stock_Price_History__2[[#This Row],[Open]]</f>
        <v>1.1579664375503155E-2</v>
      </c>
    </row>
    <row r="23" spans="1:8" x14ac:dyDescent="0.2">
      <c r="A23" s="1">
        <v>44835</v>
      </c>
      <c r="B23" s="5">
        <v>173.97</v>
      </c>
      <c r="C23" s="5">
        <v>164.29</v>
      </c>
      <c r="D23" s="5">
        <v>175.39</v>
      </c>
      <c r="E23" s="5">
        <v>159.16999999999999</v>
      </c>
      <c r="F23" t="s">
        <v>154</v>
      </c>
      <c r="G23">
        <v>6.4899999999999999E-2</v>
      </c>
      <c r="H23" s="4">
        <f>(J_J_Stock_Price_History__2[[#This Row],[Price]]-J_J_Stock_Price_History__2[[#This Row],[Open]])/J_J_Stock_Price_History__2[[#This Row],[Open]]</f>
        <v>5.8920202081684872E-2</v>
      </c>
    </row>
    <row r="24" spans="1:8" x14ac:dyDescent="0.2">
      <c r="A24" s="1">
        <v>44866</v>
      </c>
      <c r="B24" s="5">
        <v>178</v>
      </c>
      <c r="C24" s="5">
        <v>174.06</v>
      </c>
      <c r="D24" s="5">
        <v>178.12</v>
      </c>
      <c r="E24" s="5">
        <v>166.82</v>
      </c>
      <c r="F24" t="s">
        <v>155</v>
      </c>
      <c r="G24">
        <v>2.3199999999999998E-2</v>
      </c>
      <c r="H24" s="4">
        <f>(J_J_Stock_Price_History__2[[#This Row],[Price]]-J_J_Stock_Price_History__2[[#This Row],[Open]])/J_J_Stock_Price_History__2[[#This Row],[Open]]</f>
        <v>2.2635872687578981E-2</v>
      </c>
    </row>
    <row r="25" spans="1:8" x14ac:dyDescent="0.2">
      <c r="A25" s="1">
        <v>44896</v>
      </c>
      <c r="B25" s="5">
        <v>176.65</v>
      </c>
      <c r="C25" s="5">
        <v>179</v>
      </c>
      <c r="D25" s="5">
        <v>181.04</v>
      </c>
      <c r="E25" s="5">
        <v>174.07</v>
      </c>
      <c r="F25" t="s">
        <v>156</v>
      </c>
      <c r="G25">
        <v>-7.6E-3</v>
      </c>
      <c r="H25" s="4">
        <f>(J_J_Stock_Price_History__2[[#This Row],[Price]]-J_J_Stock_Price_History__2[[#This Row],[Open]])/J_J_Stock_Price_History__2[[#This Row],[Open]]</f>
        <v>-1.3128491620111701E-2</v>
      </c>
    </row>
    <row r="26" spans="1:8" x14ac:dyDescent="0.2">
      <c r="A26" s="1">
        <v>44927</v>
      </c>
      <c r="B26" s="5">
        <v>163.41999999999999</v>
      </c>
      <c r="C26" s="5">
        <v>176.16</v>
      </c>
      <c r="D26" s="5">
        <v>180.93</v>
      </c>
      <c r="E26" s="5">
        <v>161.05000000000001</v>
      </c>
      <c r="F26" t="s">
        <v>157</v>
      </c>
      <c r="G26">
        <v>-7.4899999999999994E-2</v>
      </c>
      <c r="H26" s="4">
        <f>(J_J_Stock_Price_History__2[[#This Row],[Price]]-J_J_Stock_Price_History__2[[#This Row],[Open]])/J_J_Stock_Price_History__2[[#This Row],[Open]]</f>
        <v>-7.2320617620345196E-2</v>
      </c>
    </row>
    <row r="27" spans="1:8" x14ac:dyDescent="0.2">
      <c r="A27" s="1">
        <v>44958</v>
      </c>
      <c r="B27" s="5">
        <v>153.26</v>
      </c>
      <c r="C27" s="5">
        <v>162.99</v>
      </c>
      <c r="D27" s="5">
        <v>166.34</v>
      </c>
      <c r="E27" s="5">
        <v>153.04</v>
      </c>
      <c r="F27" t="s">
        <v>158</v>
      </c>
      <c r="G27">
        <v>-6.2199999999999998E-2</v>
      </c>
      <c r="H27" s="4">
        <f>(J_J_Stock_Price_History__2[[#This Row],[Price]]-J_J_Stock_Price_History__2[[#This Row],[Open]])/J_J_Stock_Price_History__2[[#This Row],[Open]]</f>
        <v>-5.9696913921099562E-2</v>
      </c>
    </row>
    <row r="28" spans="1:8" x14ac:dyDescent="0.2">
      <c r="A28" s="1">
        <v>44986</v>
      </c>
      <c r="B28" s="5">
        <v>155</v>
      </c>
      <c r="C28" s="5">
        <v>153.01</v>
      </c>
      <c r="D28" s="5">
        <v>156.25</v>
      </c>
      <c r="E28" s="5">
        <v>150.11000000000001</v>
      </c>
      <c r="F28" t="s">
        <v>159</v>
      </c>
      <c r="G28">
        <v>1.14E-2</v>
      </c>
      <c r="H28" s="4">
        <f>(J_J_Stock_Price_History__2[[#This Row],[Price]]-J_J_Stock_Price_History__2[[#This Row],[Open]])/J_J_Stock_Price_History__2[[#This Row],[Open]]</f>
        <v>1.3005685902882225E-2</v>
      </c>
    </row>
    <row r="29" spans="1:8" x14ac:dyDescent="0.2">
      <c r="A29" s="1">
        <v>45017</v>
      </c>
      <c r="B29" s="5">
        <v>163.69999999999999</v>
      </c>
      <c r="C29" s="5">
        <v>154.94999999999999</v>
      </c>
      <c r="D29" s="5">
        <v>167.23</v>
      </c>
      <c r="E29" s="5">
        <v>153.94</v>
      </c>
      <c r="F29" t="s">
        <v>160</v>
      </c>
      <c r="G29">
        <v>5.6099999999999997E-2</v>
      </c>
      <c r="H29" s="4">
        <f>(J_J_Stock_Price_History__2[[#This Row],[Price]]-J_J_Stock_Price_History__2[[#This Row],[Open]])/J_J_Stock_Price_History__2[[#This Row],[Open]]</f>
        <v>5.6469828977089388E-2</v>
      </c>
    </row>
    <row r="30" spans="1:8" x14ac:dyDescent="0.2">
      <c r="A30" s="1">
        <v>45047</v>
      </c>
      <c r="B30" s="5">
        <v>155.06</v>
      </c>
      <c r="C30" s="5">
        <v>163.6</v>
      </c>
      <c r="D30" s="5">
        <v>166.18</v>
      </c>
      <c r="E30" s="5">
        <v>153.32</v>
      </c>
      <c r="F30" t="s">
        <v>161</v>
      </c>
      <c r="G30">
        <v>-5.28E-2</v>
      </c>
      <c r="H30" s="4">
        <f>(J_J_Stock_Price_History__2[[#This Row],[Price]]-J_J_Stock_Price_History__2[[#This Row],[Open]])/J_J_Stock_Price_History__2[[#This Row],[Open]]</f>
        <v>-5.2200488997554965E-2</v>
      </c>
    </row>
    <row r="31" spans="1:8" x14ac:dyDescent="0.2">
      <c r="A31" s="1">
        <v>45078</v>
      </c>
      <c r="B31" s="5">
        <v>165.52</v>
      </c>
      <c r="C31" s="5">
        <v>154.54</v>
      </c>
      <c r="D31" s="5">
        <v>166.27</v>
      </c>
      <c r="E31" s="5">
        <v>153.15</v>
      </c>
      <c r="F31" t="s">
        <v>162</v>
      </c>
      <c r="G31">
        <v>6.7500000000000004E-2</v>
      </c>
      <c r="H31" s="4">
        <f>(J_J_Stock_Price_History__2[[#This Row],[Price]]-J_J_Stock_Price_History__2[[#This Row],[Open]])/J_J_Stock_Price_History__2[[#This Row],[Open]]</f>
        <v>7.1049566455286775E-2</v>
      </c>
    </row>
    <row r="32" spans="1:8" x14ac:dyDescent="0.2">
      <c r="A32" s="1">
        <v>45108</v>
      </c>
      <c r="B32" s="5">
        <v>167.53</v>
      </c>
      <c r="C32" s="5">
        <v>164.34</v>
      </c>
      <c r="D32" s="5">
        <v>175.36</v>
      </c>
      <c r="E32" s="5">
        <v>157.33000000000001</v>
      </c>
      <c r="F32" t="s">
        <v>163</v>
      </c>
      <c r="G32">
        <v>1.21E-2</v>
      </c>
      <c r="H32" s="4">
        <f>(J_J_Stock_Price_History__2[[#This Row],[Price]]-J_J_Stock_Price_History__2[[#This Row],[Open]])/J_J_Stock_Price_History__2[[#This Row],[Open]]</f>
        <v>1.9410977242302528E-2</v>
      </c>
    </row>
    <row r="33" spans="1:8" x14ac:dyDescent="0.2">
      <c r="A33" s="1">
        <v>45139</v>
      </c>
      <c r="B33" s="5">
        <v>161.68</v>
      </c>
      <c r="C33" s="5">
        <v>166.37</v>
      </c>
      <c r="D33" s="5">
        <v>175.97</v>
      </c>
      <c r="E33" s="5">
        <v>161.28</v>
      </c>
      <c r="F33" t="s">
        <v>164</v>
      </c>
      <c r="G33">
        <v>-3.49E-2</v>
      </c>
      <c r="H33" s="4">
        <f>(J_J_Stock_Price_History__2[[#This Row],[Price]]-J_J_Stock_Price_History__2[[#This Row],[Open]])/J_J_Stock_Price_History__2[[#This Row],[Open]]</f>
        <v>-2.8190178517761601E-2</v>
      </c>
    </row>
    <row r="34" spans="1:8" x14ac:dyDescent="0.2">
      <c r="A34" s="1">
        <v>45170</v>
      </c>
      <c r="B34" s="5">
        <v>155.75</v>
      </c>
      <c r="C34" s="5">
        <v>161.41999999999999</v>
      </c>
      <c r="D34" s="5">
        <v>165.27</v>
      </c>
      <c r="E34" s="5">
        <v>155.26</v>
      </c>
      <c r="F34" t="s">
        <v>165</v>
      </c>
      <c r="G34">
        <v>-3.6700000000000003E-2</v>
      </c>
      <c r="H34" s="4">
        <f>(J_J_Stock_Price_History__2[[#This Row],[Price]]-J_J_Stock_Price_History__2[[#This Row],[Open]])/J_J_Stock_Price_History__2[[#This Row],[Open]]</f>
        <v>-3.5125758889852483E-2</v>
      </c>
    </row>
    <row r="35" spans="1:8" x14ac:dyDescent="0.2">
      <c r="A35" s="1">
        <v>45200</v>
      </c>
      <c r="B35" s="5">
        <v>148.34</v>
      </c>
      <c r="C35" s="5">
        <v>155.41999999999999</v>
      </c>
      <c r="D35" s="5">
        <v>159.27000000000001</v>
      </c>
      <c r="E35" s="5">
        <v>144.94999999999999</v>
      </c>
      <c r="F35" t="s">
        <v>166</v>
      </c>
      <c r="G35">
        <v>-4.7600000000000003E-2</v>
      </c>
      <c r="H35" s="4">
        <f>(J_J_Stock_Price_History__2[[#This Row],[Price]]-J_J_Stock_Price_History__2[[#This Row],[Open]])/J_J_Stock_Price_History__2[[#This Row],[Open]]</f>
        <v>-4.5553982756401906E-2</v>
      </c>
    </row>
    <row r="36" spans="1:8" x14ac:dyDescent="0.2">
      <c r="A36" s="1">
        <v>45231</v>
      </c>
      <c r="B36" s="5">
        <v>154.66</v>
      </c>
      <c r="C36" s="5">
        <v>149.19</v>
      </c>
      <c r="D36" s="5">
        <v>155.13999999999999</v>
      </c>
      <c r="E36" s="5">
        <v>145.63999999999999</v>
      </c>
      <c r="F36" t="s">
        <v>167</v>
      </c>
      <c r="G36">
        <v>4.2599999999999999E-2</v>
      </c>
      <c r="H36" s="4">
        <f>(J_J_Stock_Price_History__2[[#This Row],[Price]]-J_J_Stock_Price_History__2[[#This Row],[Open]])/J_J_Stock_Price_History__2[[#This Row],[Open]]</f>
        <v>3.6664655808030022E-2</v>
      </c>
    </row>
    <row r="37" spans="1:8" x14ac:dyDescent="0.2">
      <c r="A37" s="1">
        <v>45261</v>
      </c>
      <c r="B37" s="5">
        <v>156.74</v>
      </c>
      <c r="C37" s="5">
        <v>156.44</v>
      </c>
      <c r="D37" s="5">
        <v>160.02000000000001</v>
      </c>
      <c r="E37" s="5">
        <v>151.77000000000001</v>
      </c>
      <c r="F37" t="s">
        <v>168</v>
      </c>
      <c r="G37">
        <v>1.34E-2</v>
      </c>
      <c r="H37" s="4">
        <f>(J_J_Stock_Price_History__2[[#This Row],[Price]]-J_J_Stock_Price_History__2[[#This Row],[Open]])/J_J_Stock_Price_History__2[[#This Row],[Open]]</f>
        <v>1.9176681155715378E-3</v>
      </c>
    </row>
    <row r="38" spans="1:8" x14ac:dyDescent="0.2">
      <c r="A38" s="1">
        <v>45292</v>
      </c>
      <c r="B38" s="5">
        <v>158.9</v>
      </c>
      <c r="C38" s="5">
        <v>156.93</v>
      </c>
      <c r="D38" s="5">
        <v>163.58000000000001</v>
      </c>
      <c r="E38" s="5">
        <v>156.79</v>
      </c>
      <c r="F38" t="s">
        <v>169</v>
      </c>
      <c r="G38">
        <v>1.38E-2</v>
      </c>
      <c r="H38" s="4">
        <f>(J_J_Stock_Price_History__2[[#This Row],[Price]]-J_J_Stock_Price_History__2[[#This Row],[Open]])/J_J_Stock_Price_History__2[[#This Row],[Open]]</f>
        <v>1.2553367743579933E-2</v>
      </c>
    </row>
    <row r="39" spans="1:8" x14ac:dyDescent="0.2">
      <c r="A39" s="1">
        <v>45323</v>
      </c>
      <c r="B39" s="5">
        <v>161.38</v>
      </c>
      <c r="C39" s="5">
        <v>158.16</v>
      </c>
      <c r="D39" s="5">
        <v>162.25</v>
      </c>
      <c r="E39" s="5">
        <v>154.84</v>
      </c>
      <c r="F39" t="s">
        <v>170</v>
      </c>
      <c r="G39">
        <v>1.5599999999999999E-2</v>
      </c>
      <c r="H39" s="4">
        <f>(J_J_Stock_Price_History__2[[#This Row],[Price]]-J_J_Stock_Price_History__2[[#This Row],[Open]])/J_J_Stock_Price_History__2[[#This Row],[Open]]</f>
        <v>2.0359129994941823E-2</v>
      </c>
    </row>
    <row r="40" spans="1:8" x14ac:dyDescent="0.2">
      <c r="A40" s="1">
        <v>45352</v>
      </c>
      <c r="B40" s="5">
        <v>158.19</v>
      </c>
      <c r="C40" s="5">
        <v>161.83000000000001</v>
      </c>
      <c r="D40" s="5">
        <v>163.11000000000001</v>
      </c>
      <c r="E40" s="5">
        <v>154.76</v>
      </c>
      <c r="F40" t="s">
        <v>171</v>
      </c>
      <c r="G40">
        <v>-1.9800000000000002E-2</v>
      </c>
      <c r="H40" s="4">
        <f>(J_J_Stock_Price_History__2[[#This Row],[Price]]-J_J_Stock_Price_History__2[[#This Row],[Open]])/J_J_Stock_Price_History__2[[#This Row],[Open]]</f>
        <v>-2.2492739294321291E-2</v>
      </c>
    </row>
    <row r="41" spans="1:8" x14ac:dyDescent="0.2">
      <c r="A41" s="1">
        <v>45383</v>
      </c>
      <c r="B41" s="5">
        <v>144.59</v>
      </c>
      <c r="C41" s="5">
        <v>157.72</v>
      </c>
      <c r="D41" s="5">
        <v>158.15</v>
      </c>
      <c r="E41" s="5">
        <v>143.13</v>
      </c>
      <c r="F41" t="s">
        <v>172</v>
      </c>
      <c r="G41">
        <v>-8.5999999999999993E-2</v>
      </c>
      <c r="H41" s="4">
        <f>(J_J_Stock_Price_History__2[[#This Row],[Price]]-J_J_Stock_Price_History__2[[#This Row],[Open]])/J_J_Stock_Price_History__2[[#This Row],[Open]]</f>
        <v>-8.3248795333502379E-2</v>
      </c>
    </row>
    <row r="42" spans="1:8" x14ac:dyDescent="0.2">
      <c r="A42" s="1">
        <v>45413</v>
      </c>
      <c r="B42" s="5">
        <v>146.66999999999999</v>
      </c>
      <c r="C42" s="5">
        <v>148.74</v>
      </c>
      <c r="D42" s="5">
        <v>154.86000000000001</v>
      </c>
      <c r="E42" s="5">
        <v>143.71</v>
      </c>
      <c r="F42" t="s">
        <v>173</v>
      </c>
      <c r="G42">
        <v>1.44E-2</v>
      </c>
      <c r="H42" s="4">
        <f>(J_J_Stock_Price_History__2[[#This Row],[Price]]-J_J_Stock_Price_History__2[[#This Row],[Open]])/J_J_Stock_Price_History__2[[#This Row],[Open]]</f>
        <v>-1.3916901976603613E-2</v>
      </c>
    </row>
    <row r="43" spans="1:8" x14ac:dyDescent="0.2">
      <c r="A43" s="1">
        <v>45444</v>
      </c>
      <c r="B43" s="5">
        <v>146.16</v>
      </c>
      <c r="C43" s="5">
        <v>147.25</v>
      </c>
      <c r="D43" s="5">
        <v>149.72</v>
      </c>
      <c r="E43" s="5">
        <v>143.88</v>
      </c>
      <c r="F43" t="s">
        <v>174</v>
      </c>
      <c r="G43">
        <v>-3.5000000000000001E-3</v>
      </c>
      <c r="H43" s="4">
        <f>(J_J_Stock_Price_History__2[[#This Row],[Price]]-J_J_Stock_Price_History__2[[#This Row],[Open]])/J_J_Stock_Price_History__2[[#This Row],[Open]]</f>
        <v>-7.4023769100170014E-3</v>
      </c>
    </row>
    <row r="44" spans="1:8" x14ac:dyDescent="0.2">
      <c r="A44" s="1">
        <v>45474</v>
      </c>
      <c r="B44" s="5">
        <v>157.85</v>
      </c>
      <c r="C44" s="5">
        <v>146.07</v>
      </c>
      <c r="D44" s="5">
        <v>161.58000000000001</v>
      </c>
      <c r="E44" s="5">
        <v>144.5</v>
      </c>
      <c r="F44" t="s">
        <v>175</v>
      </c>
      <c r="G44">
        <v>0.08</v>
      </c>
      <c r="H44" s="4">
        <f>(J_J_Stock_Price_History__2[[#This Row],[Price]]-J_J_Stock_Price_History__2[[#This Row],[Open]])/J_J_Stock_Price_History__2[[#This Row],[Open]]</f>
        <v>8.0646265489149049E-2</v>
      </c>
    </row>
    <row r="45" spans="1:8" x14ac:dyDescent="0.2">
      <c r="A45" s="1">
        <v>45505</v>
      </c>
      <c r="B45" s="5">
        <v>165.86</v>
      </c>
      <c r="C45" s="5">
        <v>158.47999999999999</v>
      </c>
      <c r="D45" s="5">
        <v>165.98</v>
      </c>
      <c r="E45" s="5">
        <v>156.44</v>
      </c>
      <c r="F45" t="s">
        <v>176</v>
      </c>
      <c r="G45">
        <v>5.0700000000000002E-2</v>
      </c>
      <c r="H45" s="4">
        <f>(J_J_Stock_Price_History__2[[#This Row],[Price]]-J_J_Stock_Price_History__2[[#This Row],[Open]])/J_J_Stock_Price_History__2[[#This Row],[Open]]</f>
        <v>4.6567390206966333E-2</v>
      </c>
    </row>
    <row r="46" spans="1:8" x14ac:dyDescent="0.2">
      <c r="A46" s="1">
        <v>45536</v>
      </c>
      <c r="B46" s="5">
        <v>162.06</v>
      </c>
      <c r="C46" s="5">
        <v>165.24</v>
      </c>
      <c r="D46" s="5">
        <v>168.85</v>
      </c>
      <c r="E46" s="5">
        <v>160.02000000000001</v>
      </c>
      <c r="F46" t="s">
        <v>177</v>
      </c>
      <c r="G46">
        <v>-2.29E-2</v>
      </c>
      <c r="H46" s="4">
        <f>(J_J_Stock_Price_History__2[[#This Row],[Price]]-J_J_Stock_Price_History__2[[#This Row],[Open]])/J_J_Stock_Price_History__2[[#This Row],[Open]]</f>
        <v>-1.9244734931009481E-2</v>
      </c>
    </row>
    <row r="47" spans="1:8" x14ac:dyDescent="0.2">
      <c r="A47" s="1">
        <v>45566</v>
      </c>
      <c r="B47" s="5">
        <v>159.86000000000001</v>
      </c>
      <c r="C47" s="5">
        <v>162.43</v>
      </c>
      <c r="D47" s="5">
        <v>166.75</v>
      </c>
      <c r="E47" s="5">
        <v>158.77000000000001</v>
      </c>
      <c r="F47" t="s">
        <v>178</v>
      </c>
      <c r="G47">
        <v>-1.3599999999999999E-2</v>
      </c>
      <c r="H47" s="4">
        <f>(J_J_Stock_Price_History__2[[#This Row],[Price]]-J_J_Stock_Price_History__2[[#This Row],[Open]])/J_J_Stock_Price_History__2[[#This Row],[Open]]</f>
        <v>-1.582220033245086E-2</v>
      </c>
    </row>
    <row r="48" spans="1:8" x14ac:dyDescent="0.2">
      <c r="A48" s="1">
        <v>45597</v>
      </c>
      <c r="B48" s="5">
        <v>155.01</v>
      </c>
      <c r="C48" s="5">
        <v>160.58000000000001</v>
      </c>
      <c r="D48" s="5">
        <v>161.06</v>
      </c>
      <c r="E48" s="5">
        <v>150.76</v>
      </c>
      <c r="F48" t="s">
        <v>179</v>
      </c>
      <c r="G48">
        <v>-3.0300000000000001E-2</v>
      </c>
      <c r="H48" s="4">
        <f>(J_J_Stock_Price_History__2[[#This Row],[Price]]-J_J_Stock_Price_History__2[[#This Row],[Open]])/J_J_Stock_Price_History__2[[#This Row],[Open]]</f>
        <v>-3.4686760493212239E-2</v>
      </c>
    </row>
    <row r="49" spans="1:8" x14ac:dyDescent="0.2">
      <c r="A49" s="1">
        <v>45627</v>
      </c>
      <c r="B49" s="5">
        <v>144.62</v>
      </c>
      <c r="C49" s="5">
        <v>154.75</v>
      </c>
      <c r="D49" s="5">
        <v>155</v>
      </c>
      <c r="E49" s="5">
        <v>142.75</v>
      </c>
      <c r="F49" t="s">
        <v>180</v>
      </c>
      <c r="G49">
        <v>-6.7000000000000004E-2</v>
      </c>
      <c r="H49" s="4">
        <f>(J_J_Stock_Price_History__2[[#This Row],[Price]]-J_J_Stock_Price_History__2[[#This Row],[Open]])/J_J_Stock_Price_History__2[[#This Row],[Open]]</f>
        <v>-6.5460420032310146E-2</v>
      </c>
    </row>
    <row r="50" spans="1:8" x14ac:dyDescent="0.2">
      <c r="A50" s="1">
        <v>45658</v>
      </c>
      <c r="B50" s="5">
        <v>152.15</v>
      </c>
      <c r="C50" s="5">
        <v>145.22999999999999</v>
      </c>
      <c r="D50" s="5">
        <v>154.13999999999999</v>
      </c>
      <c r="E50" s="5">
        <v>140.68</v>
      </c>
      <c r="F50" t="s">
        <v>181</v>
      </c>
      <c r="G50">
        <v>5.21E-2</v>
      </c>
      <c r="H50" s="4">
        <f>(J_J_Stock_Price_History__2[[#This Row],[Price]]-J_J_Stock_Price_History__2[[#This Row],[Open]])/J_J_Stock_Price_History__2[[#This Row],[Open]]</f>
        <v>4.7648557460579881E-2</v>
      </c>
    </row>
    <row r="51" spans="1:8" x14ac:dyDescent="0.2">
      <c r="A51" s="1">
        <v>45689</v>
      </c>
      <c r="B51" s="5">
        <v>165.02</v>
      </c>
      <c r="C51" s="5">
        <v>152</v>
      </c>
      <c r="D51" s="5">
        <v>166.43</v>
      </c>
      <c r="E51" s="5">
        <v>150.78</v>
      </c>
      <c r="F51" t="s">
        <v>182</v>
      </c>
      <c r="G51">
        <v>8.4599999999999995E-2</v>
      </c>
      <c r="H51" s="4">
        <f>(J_J_Stock_Price_History__2[[#This Row],[Price]]-J_J_Stock_Price_History__2[[#This Row],[Open]])/J_J_Stock_Price_History__2[[#This Row],[Open]]</f>
        <v>8.5657894736842169E-2</v>
      </c>
    </row>
    <row r="52" spans="1:8" x14ac:dyDescent="0.2">
      <c r="A52" s="1">
        <v>45717</v>
      </c>
      <c r="B52" s="5">
        <v>165.84</v>
      </c>
      <c r="C52" s="5">
        <v>164.96</v>
      </c>
      <c r="D52" s="5">
        <v>169.99</v>
      </c>
      <c r="E52" s="5">
        <v>160.55000000000001</v>
      </c>
      <c r="F52" t="s">
        <v>183</v>
      </c>
      <c r="G52">
        <v>5.0000000000000001E-3</v>
      </c>
      <c r="H52" s="4">
        <f>(J_J_Stock_Price_History__2[[#This Row],[Price]]-J_J_Stock_Price_History__2[[#This Row],[Open]])/J_J_Stock_Price_History__2[[#This Row],[Open]]</f>
        <v>5.3346265761396424E-3</v>
      </c>
    </row>
    <row r="53" spans="1:8" x14ac:dyDescent="0.2">
      <c r="A53" s="1">
        <v>45748</v>
      </c>
      <c r="B53" s="5">
        <v>156.31</v>
      </c>
      <c r="C53" s="5">
        <v>160.72999999999999</v>
      </c>
      <c r="D53" s="5">
        <v>161.81</v>
      </c>
      <c r="E53" s="5">
        <v>141.5</v>
      </c>
      <c r="F53" t="s">
        <v>184</v>
      </c>
      <c r="G53">
        <v>-5.7500000000000002E-2</v>
      </c>
      <c r="H53" s="4">
        <f>(J_J_Stock_Price_History__2[[#This Row],[Price]]-J_J_Stock_Price_History__2[[#This Row],[Open]])/J_J_Stock_Price_History__2[[#This Row],[Open]]</f>
        <v>-2.7499533378958427E-2</v>
      </c>
    </row>
    <row r="54" spans="1:8" x14ac:dyDescent="0.2">
      <c r="A54" s="1">
        <v>45778</v>
      </c>
      <c r="B54" s="5">
        <v>155.21</v>
      </c>
      <c r="C54" s="5">
        <v>155</v>
      </c>
      <c r="D54" s="5">
        <v>157.94</v>
      </c>
      <c r="E54" s="5">
        <v>146.12</v>
      </c>
      <c r="F54" t="s">
        <v>185</v>
      </c>
      <c r="G54">
        <v>-7.0000000000000001E-3</v>
      </c>
      <c r="H54" s="4">
        <f>(J_J_Stock_Price_History__2[[#This Row],[Price]]-J_J_Stock_Price_History__2[[#This Row],[Open]])/J_J_Stock_Price_History__2[[#This Row],[Open]]</f>
        <v>1.3548387096774708E-3</v>
      </c>
    </row>
    <row r="55" spans="1:8" x14ac:dyDescent="0.2">
      <c r="A55" s="1">
        <v>45809</v>
      </c>
      <c r="B55" s="5">
        <v>152.75</v>
      </c>
      <c r="C55" s="5">
        <v>154.47999999999999</v>
      </c>
      <c r="D55" s="5">
        <v>157.66999999999999</v>
      </c>
      <c r="E55" s="5">
        <v>149.04</v>
      </c>
      <c r="F55" t="s">
        <v>186</v>
      </c>
      <c r="G55">
        <v>-1.5800000000000002E-2</v>
      </c>
      <c r="H55" s="4">
        <f>(J_J_Stock_Price_History__2[[#This Row],[Price]]-J_J_Stock_Price_History__2[[#This Row],[Open]])/J_J_Stock_Price_History__2[[#This Row],[Open]]</f>
        <v>-1.1198860693940898E-2</v>
      </c>
    </row>
    <row r="56" spans="1:8" x14ac:dyDescent="0.2">
      <c r="A56" s="1">
        <v>45839</v>
      </c>
      <c r="B56" s="5">
        <v>164.74</v>
      </c>
      <c r="C56" s="5">
        <v>153</v>
      </c>
      <c r="D56" s="5">
        <v>169.99</v>
      </c>
      <c r="E56" s="5">
        <v>152.81</v>
      </c>
      <c r="F56" t="s">
        <v>187</v>
      </c>
      <c r="G56">
        <v>7.85E-2</v>
      </c>
      <c r="H56" s="4">
        <f>(J_J_Stock_Price_History__2[[#This Row],[Price]]-J_J_Stock_Price_History__2[[#This Row],[Open]])/J_J_Stock_Price_History__2[[#This Row],[Open]]</f>
        <v>7.6732026143790905E-2</v>
      </c>
    </row>
    <row r="57" spans="1:8" x14ac:dyDescent="0.2">
      <c r="A57" s="1">
        <v>45870</v>
      </c>
      <c r="B57" s="5">
        <v>177.17</v>
      </c>
      <c r="C57" s="5">
        <v>165.48</v>
      </c>
      <c r="D57" s="5">
        <v>181.16</v>
      </c>
      <c r="E57" s="5">
        <v>164.79</v>
      </c>
      <c r="F57" t="s">
        <v>188</v>
      </c>
      <c r="G57">
        <v>7.5499999999999998E-2</v>
      </c>
      <c r="H57" s="4">
        <f>(J_J_Stock_Price_History__2[[#This Row],[Price]]-J_J_Stock_Price_History__2[[#This Row],[Open]])/J_J_Stock_Price_History__2[[#This Row],[Open]]</f>
        <v>7.064297800338408E-2</v>
      </c>
    </row>
    <row r="58" spans="1:8" x14ac:dyDescent="0.2">
      <c r="A58" s="1">
        <v>45901</v>
      </c>
      <c r="B58" s="5">
        <v>185.42</v>
      </c>
      <c r="C58" s="5">
        <v>177.47</v>
      </c>
      <c r="D58" s="5">
        <v>185.99</v>
      </c>
      <c r="E58" s="5">
        <v>173.33</v>
      </c>
      <c r="F58" t="s">
        <v>189</v>
      </c>
      <c r="G58">
        <v>4.6600000000000003E-2</v>
      </c>
      <c r="H58" s="4">
        <f>(J_J_Stock_Price_History__2[[#This Row],[Price]]-J_J_Stock_Price_History__2[[#This Row],[Open]])/J_J_Stock_Price_History__2[[#This Row],[Open]]</f>
        <v>4.4796303600608489E-2</v>
      </c>
    </row>
    <row r="59" spans="1:8" x14ac:dyDescent="0.2">
      <c r="A59" s="1">
        <v>45931</v>
      </c>
      <c r="B59" s="5">
        <v>188.87</v>
      </c>
      <c r="C59" s="5">
        <v>186</v>
      </c>
      <c r="D59" s="5">
        <v>194.48</v>
      </c>
      <c r="E59" s="5">
        <v>182.94</v>
      </c>
      <c r="F59" t="s">
        <v>190</v>
      </c>
      <c r="G59">
        <v>1.8599999999999998E-2</v>
      </c>
      <c r="H59" s="4">
        <f>(J_J_Stock_Price_History__2[[#This Row],[Price]]-J_J_Stock_Price_History__2[[#This Row],[Open]])/J_J_Stock_Price_History__2[[#This Row],[Open]]</f>
        <v>1.5430107526881745E-2</v>
      </c>
    </row>
    <row r="60" spans="1:8" x14ac:dyDescent="0.2">
      <c r="A60" s="1">
        <v>45962</v>
      </c>
      <c r="B60" s="5">
        <v>206.92</v>
      </c>
      <c r="C60" s="5">
        <v>189</v>
      </c>
      <c r="D60" s="5">
        <v>207.81</v>
      </c>
      <c r="E60" s="5">
        <v>185.12</v>
      </c>
      <c r="F60" t="s">
        <v>191</v>
      </c>
      <c r="G60">
        <v>9.5600000000000004E-2</v>
      </c>
      <c r="H60" s="4">
        <f>(J_J_Stock_Price_History__2[[#This Row],[Price]]-J_J_Stock_Price_History__2[[#This Row],[Open]])/J_J_Stock_Price_History__2[[#This Row],[Open]]</f>
        <v>9.4814814814814755E-2</v>
      </c>
    </row>
    <row r="61" spans="1:8" x14ac:dyDescent="0.2">
      <c r="A61" s="1">
        <v>45992</v>
      </c>
      <c r="B61" s="5">
        <v>206.95</v>
      </c>
      <c r="C61" s="5">
        <v>206.5</v>
      </c>
      <c r="D61" s="5">
        <v>215.18</v>
      </c>
      <c r="E61" s="5">
        <v>199.9</v>
      </c>
      <c r="F61" t="s">
        <v>192</v>
      </c>
      <c r="G61">
        <v>1E-4</v>
      </c>
      <c r="H61" s="4">
        <f>(J_J_Stock_Price_History__2[[#This Row],[Price]]-J_J_Stock_Price_History__2[[#This Row],[Open]])/J_J_Stock_Price_History__2[[#This Row],[Open]]</f>
        <v>2.1791767554478867E-3</v>
      </c>
    </row>
    <row r="62" spans="1:8" x14ac:dyDescent="0.2">
      <c r="A62" s="1">
        <v>46023</v>
      </c>
      <c r="B62" s="5">
        <v>227.25</v>
      </c>
      <c r="C62" s="5">
        <v>206.82</v>
      </c>
      <c r="D62" s="5">
        <v>230</v>
      </c>
      <c r="E62" s="5">
        <v>200.91</v>
      </c>
      <c r="F62" t="s">
        <v>193</v>
      </c>
      <c r="G62">
        <v>9.8100000000000007E-2</v>
      </c>
      <c r="H62" s="4">
        <f>(J_J_Stock_Price_History__2[[#This Row],[Price]]-J_J_Stock_Price_History__2[[#This Row],[Open]])/J_J_Stock_Price_History__2[[#This Row],[Open]]</f>
        <v>9.8781549173194122E-2</v>
      </c>
    </row>
    <row r="63" spans="1:8" x14ac:dyDescent="0.2">
      <c r="A63" s="1">
        <v>46054</v>
      </c>
      <c r="B63" s="5">
        <v>248.43</v>
      </c>
      <c r="C63" s="5">
        <v>228.32</v>
      </c>
      <c r="D63" s="5">
        <v>248.94</v>
      </c>
      <c r="E63" s="5">
        <v>227.25</v>
      </c>
      <c r="F63" t="s">
        <v>116</v>
      </c>
      <c r="G63">
        <v>9.3200000000000005E-2</v>
      </c>
      <c r="H63" s="4">
        <f>(J_J_Stock_Price_History__2[[#This Row],[Price]]-J_J_Stock_Price_History__2[[#This Row],[Open]])/J_J_Stock_Price_History__2[[#This Row],[Open]]</f>
        <v>8.8078135949544556E-2</v>
      </c>
    </row>
    <row r="64" spans="1:8" x14ac:dyDescent="0.2">
      <c r="A64" s="1">
        <v>46082</v>
      </c>
      <c r="B64" s="5">
        <v>244.44</v>
      </c>
      <c r="C64" s="5">
        <v>249.19</v>
      </c>
      <c r="D64" s="5">
        <v>251.71</v>
      </c>
      <c r="E64" s="5">
        <v>232.24</v>
      </c>
      <c r="F64" t="s">
        <v>194</v>
      </c>
      <c r="G64">
        <v>-1.61E-2</v>
      </c>
      <c r="H64" s="4">
        <f>(J_J_Stock_Price_History__2[[#This Row],[Price]]-J_J_Stock_Price_History__2[[#This Row],[Open]])/J_J_Stock_Price_History__2[[#This Row],[Open]]</f>
        <v>-1.9061760102732854E-2</v>
      </c>
    </row>
    <row r="65" spans="1:8" x14ac:dyDescent="0.2">
      <c r="A65" s="1">
        <v>46113</v>
      </c>
      <c r="B65" s="5">
        <v>227.39</v>
      </c>
      <c r="C65" s="5">
        <v>245.6</v>
      </c>
      <c r="D65" s="5">
        <v>247.21</v>
      </c>
      <c r="E65" s="5">
        <v>223.77</v>
      </c>
      <c r="F65" t="s">
        <v>195</v>
      </c>
      <c r="G65">
        <v>-6.9800000000000001E-2</v>
      </c>
      <c r="H65" s="4">
        <f>(J_J_Stock_Price_History__2[[#This Row],[Price]]-J_J_Stock_Price_History__2[[#This Row],[Open]])/J_J_Stock_Price_History__2[[#This Row],[Open]]</f>
        <v>-7.4144951140065182E-2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1DF-6075-3846-BB4D-25F063C878A1}">
  <sheetPr codeName="Sheet4"/>
  <dimension ref="A1:J63"/>
  <sheetViews>
    <sheetView tabSelected="1" workbookViewId="0">
      <selection activeCell="B62" sqref="B62"/>
    </sheetView>
  </sheetViews>
  <sheetFormatPr baseColWidth="10" defaultColWidth="11.5" defaultRowHeight="14" x14ac:dyDescent="0.15"/>
  <cols>
    <col min="1" max="1" width="15.6640625" style="2" bestFit="1" customWidth="1"/>
    <col min="2" max="4" width="11.5" style="2"/>
    <col min="5" max="5" width="46" style="2" customWidth="1"/>
    <col min="6" max="16384" width="11.5" style="2"/>
  </cols>
  <sheetData>
    <row r="1" spans="1:10" x14ac:dyDescent="0.15">
      <c r="A1" s="3" t="s">
        <v>196</v>
      </c>
      <c r="B1" s="3" t="s">
        <v>197</v>
      </c>
      <c r="C1" s="3" t="s">
        <v>198</v>
      </c>
      <c r="D1" s="3" t="s">
        <v>199</v>
      </c>
      <c r="E1" s="23" t="s">
        <v>263</v>
      </c>
      <c r="H1" s="3"/>
      <c r="I1" s="3"/>
      <c r="J1" s="3"/>
    </row>
    <row r="2" spans="1:10" x14ac:dyDescent="0.15">
      <c r="A2" s="10">
        <v>44317</v>
      </c>
      <c r="B2" s="11">
        <f>'NVDA Stock Price History '!H6</f>
        <v>7.3364177131526612E-2</v>
      </c>
      <c r="C2" s="11">
        <f>'JPM Stock Price History'!H6</f>
        <v>6.0639328382305555E-2</v>
      </c>
      <c r="D2" s="11">
        <f>'JNJ Stock Price History '!H6</f>
        <v>3.4535452322738421E-2</v>
      </c>
    </row>
    <row r="3" spans="1:10" x14ac:dyDescent="0.15">
      <c r="A3" s="10">
        <v>44348</v>
      </c>
      <c r="B3" s="11">
        <f>'NVDA Stock Price History '!H7</f>
        <v>0.22925629993853722</v>
      </c>
      <c r="C3" s="11">
        <f>'JPM Stock Price History'!H7</f>
        <v>-6.2277687345511618E-2</v>
      </c>
      <c r="D3" s="11">
        <f>'JNJ Stock Price History '!H7</f>
        <v>-3.1795474581251815E-2</v>
      </c>
    </row>
    <row r="4" spans="1:10" x14ac:dyDescent="0.15">
      <c r="A4" s="10">
        <v>44378</v>
      </c>
      <c r="B4" s="11">
        <f>'NVDA Stock Price History '!H8</f>
        <v>-3.1296572280178792E-2</v>
      </c>
      <c r="C4" s="11">
        <f>'JPM Stock Price History'!H8</f>
        <v>-2.8670165109432932E-2</v>
      </c>
      <c r="D4" s="11">
        <f>'JNJ Stock Price History '!H8</f>
        <v>4.5283476994051108E-2</v>
      </c>
    </row>
    <row r="5" spans="1:10" x14ac:dyDescent="0.15">
      <c r="A5" s="10">
        <v>44409</v>
      </c>
      <c r="B5" s="11">
        <f>'NVDA Stock Price History '!H9</f>
        <v>0.13654822335025388</v>
      </c>
      <c r="C5" s="11">
        <f>'JPM Stock Price History'!H9</f>
        <v>5.2094981253699844E-2</v>
      </c>
      <c r="D5" s="11">
        <f>'JNJ Stock Price History '!H9</f>
        <v>3.8267524786919265E-3</v>
      </c>
    </row>
    <row r="6" spans="1:10" x14ac:dyDescent="0.15">
      <c r="A6" s="10">
        <v>44440</v>
      </c>
      <c r="B6" s="11">
        <f>'NVDA Stock Price History '!H10</f>
        <v>-7.8701645175633606E-2</v>
      </c>
      <c r="C6" s="11">
        <f>'JPM Stock Price History'!H10</f>
        <v>2.1657720634128068E-2</v>
      </c>
      <c r="D6" s="11">
        <f>'JNJ Stock Price History '!H10</f>
        <v>-6.5934065934065963E-2</v>
      </c>
    </row>
    <row r="7" spans="1:10" x14ac:dyDescent="0.15">
      <c r="A7" s="10">
        <v>44470</v>
      </c>
      <c r="B7" s="11">
        <f>'NVDA Stock Price History '!H11</f>
        <v>0.23228915662650604</v>
      </c>
      <c r="C7" s="11">
        <f>'JPM Stock Price History'!H11</f>
        <v>3.5914634146341377E-2</v>
      </c>
      <c r="D7" s="11">
        <f>'JNJ Stock Price History '!H11</f>
        <v>8.3575806351760939E-3</v>
      </c>
    </row>
    <row r="8" spans="1:10" x14ac:dyDescent="0.15">
      <c r="A8" s="10">
        <v>44501</v>
      </c>
      <c r="B8" s="11">
        <f>'NVDA Stock Price History '!H12</f>
        <v>0.27407407407407414</v>
      </c>
      <c r="C8" s="11">
        <f>'JPM Stock Price History'!H12</f>
        <v>-7.6784468728202632E-2</v>
      </c>
      <c r="D8" s="11">
        <f>'JNJ Stock Price History '!H12</f>
        <v>-4.4312331453787629E-2</v>
      </c>
    </row>
    <row r="9" spans="1:10" x14ac:dyDescent="0.15">
      <c r="A9" s="10">
        <v>44531</v>
      </c>
      <c r="B9" s="11">
        <f>'NVDA Stock Price History '!H13</f>
        <v>-0.11468994581577359</v>
      </c>
      <c r="C9" s="11">
        <f>'JPM Stock Price History'!H13</f>
        <v>-1.645962732919258E-2</v>
      </c>
      <c r="D9" s="11">
        <f>'JNJ Stock Price History '!H13</f>
        <v>9.0451300356960723E-2</v>
      </c>
    </row>
    <row r="10" spans="1:10" x14ac:dyDescent="0.15">
      <c r="A10" s="10">
        <v>44562</v>
      </c>
      <c r="B10" s="11">
        <f>'NVDA Stock Price History '!H14</f>
        <v>-0.17873910127431261</v>
      </c>
      <c r="C10" s="11">
        <f>'JPM Stock Price History'!H14</f>
        <v>-7.0436632053046525E-2</v>
      </c>
      <c r="D10" s="11">
        <f>'JNJ Stock Price History '!H14</f>
        <v>1.2220198578226801E-2</v>
      </c>
    </row>
    <row r="11" spans="1:10" x14ac:dyDescent="0.15">
      <c r="A11" s="10">
        <v>44593</v>
      </c>
      <c r="B11" s="11">
        <f>'NVDA Stock Price History '!H15</f>
        <v>-2.8286852589641465E-2</v>
      </c>
      <c r="C11" s="11">
        <f>'JPM Stock Price History'!H15</f>
        <v>-4.633801869661703E-2</v>
      </c>
      <c r="D11" s="11">
        <f>'JNJ Stock Price History '!H15</f>
        <v>-4.1749155700477554E-2</v>
      </c>
    </row>
    <row r="12" spans="1:10" x14ac:dyDescent="0.15">
      <c r="A12" s="10">
        <v>44621</v>
      </c>
      <c r="B12" s="11">
        <f>'NVDA Stock Price History '!H16</f>
        <v>0.12350761630300536</v>
      </c>
      <c r="C12" s="11">
        <f>'JPM Stock Price History'!H16</f>
        <v>-2.6563838903170517E-2</v>
      </c>
      <c r="D12" s="11">
        <f>'JNJ Stock Price History '!H16</f>
        <v>8.7033856722276731E-2</v>
      </c>
    </row>
    <row r="13" spans="1:10" x14ac:dyDescent="0.15">
      <c r="A13" s="10">
        <v>44652</v>
      </c>
      <c r="B13" s="11">
        <f>'NVDA Stock Price History '!H17</f>
        <v>-0.32249817384952517</v>
      </c>
      <c r="C13" s="11">
        <f>'JPM Stock Price History'!H17</f>
        <v>-0.1312954876273654</v>
      </c>
      <c r="D13" s="11">
        <f>'JNJ Stock Price History '!H17</f>
        <v>1.926009601807397E-2</v>
      </c>
    </row>
    <row r="14" spans="1:10" x14ac:dyDescent="0.15">
      <c r="A14" s="10">
        <v>44682</v>
      </c>
      <c r="B14" s="11">
        <f>'NVDA Stock Price History '!H18</f>
        <v>7.0118662351673442E-3</v>
      </c>
      <c r="C14" s="11">
        <f>'JPM Stock Price History'!H18</f>
        <v>0.10301968635301964</v>
      </c>
      <c r="D14" s="11">
        <f>'JNJ Stock Price History '!H18</f>
        <v>-5.2086219316229716E-3</v>
      </c>
    </row>
    <row r="15" spans="1:10" x14ac:dyDescent="0.15">
      <c r="A15" s="10">
        <v>44713</v>
      </c>
      <c r="B15" s="11">
        <f>'NVDA Stock Price History '!H19</f>
        <v>-0.19017094017094011</v>
      </c>
      <c r="C15" s="11">
        <f>'JPM Stock Price History'!H19</f>
        <v>-0.1524798675397005</v>
      </c>
      <c r="D15" s="11">
        <f>'JNJ Stock Price History '!H19</f>
        <v>-9.1543399385990223E-3</v>
      </c>
    </row>
    <row r="16" spans="1:10" x14ac:dyDescent="0.15">
      <c r="A16" s="10">
        <v>44743</v>
      </c>
      <c r="B16" s="11">
        <f>'NVDA Stock Price History '!H20</f>
        <v>0.21879194630872481</v>
      </c>
      <c r="C16" s="11">
        <f>'JPM Stock Price History'!H20</f>
        <v>2.4056813138038115E-2</v>
      </c>
      <c r="D16" s="11">
        <f>'JNJ Stock Price History '!H20</f>
        <v>-1.6511693434770238E-2</v>
      </c>
    </row>
    <row r="17" spans="1:4" x14ac:dyDescent="0.15">
      <c r="A17" s="10">
        <v>44774</v>
      </c>
      <c r="B17" s="11">
        <f>'NVDA Stock Price History '!H21</f>
        <v>-0.16996699669966997</v>
      </c>
      <c r="C17" s="11">
        <f>'JPM Stock Price History'!H21</f>
        <v>-6.724890829694288E-3</v>
      </c>
      <c r="D17" s="11">
        <f>'JNJ Stock Price History '!H21</f>
        <v>-7.3663661939484329E-2</v>
      </c>
    </row>
    <row r="18" spans="1:4" x14ac:dyDescent="0.15">
      <c r="A18" s="10">
        <v>44805</v>
      </c>
      <c r="B18" s="11">
        <f>'NVDA Stock Price History '!H22</f>
        <v>-0.14567206192821958</v>
      </c>
      <c r="C18" s="11">
        <f>'JPM Stock Price History'!H22</f>
        <v>-7.7588489716656425E-2</v>
      </c>
      <c r="D18" s="11">
        <f>'JNJ Stock Price History '!H22</f>
        <v>1.1579664375503155E-2</v>
      </c>
    </row>
    <row r="19" spans="1:4" x14ac:dyDescent="0.15">
      <c r="A19" s="10">
        <v>44835</v>
      </c>
      <c r="B19" s="11">
        <f>'NVDA Stock Price History '!H23</f>
        <v>9.3117408906882623E-2</v>
      </c>
      <c r="C19" s="11">
        <f>'JPM Stock Price History'!H23</f>
        <v>0.1918197311115318</v>
      </c>
      <c r="D19" s="11">
        <f>'JNJ Stock Price History '!H23</f>
        <v>5.8920202081684872E-2</v>
      </c>
    </row>
    <row r="20" spans="1:4" x14ac:dyDescent="0.15">
      <c r="A20" s="10">
        <v>44866</v>
      </c>
      <c r="B20" s="11">
        <f>'NVDA Stock Price History '!H24</f>
        <v>0.22519913106444614</v>
      </c>
      <c r="C20" s="11">
        <f>'JPM Stock Price History'!H24</f>
        <v>8.914637030030742E-2</v>
      </c>
      <c r="D20" s="11">
        <f>'JNJ Stock Price History '!H24</f>
        <v>2.2635872687578981E-2</v>
      </c>
    </row>
    <row r="21" spans="1:4" x14ac:dyDescent="0.15">
      <c r="A21" s="10">
        <v>44896</v>
      </c>
      <c r="B21" s="11">
        <f>'NVDA Stock Price History '!H25</f>
        <v>-0.14058823529411768</v>
      </c>
      <c r="C21" s="11">
        <f>'JPM Stock Price History'!H25</f>
        <v>-2.9526704298740863E-2</v>
      </c>
      <c r="D21" s="11">
        <f>'JNJ Stock Price History '!H25</f>
        <v>-1.3128491620111701E-2</v>
      </c>
    </row>
    <row r="22" spans="1:4" x14ac:dyDescent="0.15">
      <c r="A22" s="10">
        <v>44927</v>
      </c>
      <c r="B22" s="11">
        <f>'NVDA Stock Price History '!H26</f>
        <v>0.31582491582491579</v>
      </c>
      <c r="C22" s="11">
        <f>'JPM Stock Price History'!H26</f>
        <v>3.4900916888494518E-2</v>
      </c>
      <c r="D22" s="11">
        <f>'JNJ Stock Price History '!H26</f>
        <v>-7.2320617620345196E-2</v>
      </c>
    </row>
    <row r="23" spans="1:4" x14ac:dyDescent="0.15">
      <c r="A23" s="10">
        <v>44958</v>
      </c>
      <c r="B23" s="11">
        <f>'NVDA Stock Price History '!H27</f>
        <v>0.17927882173692217</v>
      </c>
      <c r="C23" s="11">
        <f>'JPM Stock Price History'!H27</f>
        <v>3.7189783662542407E-2</v>
      </c>
      <c r="D23" s="11">
        <f>'JNJ Stock Price History '!H27</f>
        <v>-5.9696913921099562E-2</v>
      </c>
    </row>
    <row r="24" spans="1:4" x14ac:dyDescent="0.15">
      <c r="A24" s="10">
        <v>44986</v>
      </c>
      <c r="B24" s="11">
        <f>'NVDA Stock Price History '!H28</f>
        <v>0.19793014230271666</v>
      </c>
      <c r="C24" s="11">
        <f>'JPM Stock Price History'!H28</f>
        <v>-8.2969739619985869E-2</v>
      </c>
      <c r="D24" s="11">
        <f>'JNJ Stock Price History '!H28</f>
        <v>1.3005685902882225E-2</v>
      </c>
    </row>
    <row r="25" spans="1:4" x14ac:dyDescent="0.15">
      <c r="A25" s="10">
        <v>45017</v>
      </c>
      <c r="B25" s="11">
        <f>'NVDA Stock Price History '!H29</f>
        <v>8.7241003271537054E-3</v>
      </c>
      <c r="C25" s="11">
        <f>'JPM Stock Price History'!H29</f>
        <v>6.4121314756369896E-2</v>
      </c>
      <c r="D25" s="11">
        <f>'JNJ Stock Price History '!H29</f>
        <v>5.6469828977089388E-2</v>
      </c>
    </row>
    <row r="26" spans="1:4" x14ac:dyDescent="0.15">
      <c r="A26" s="10">
        <v>45047</v>
      </c>
      <c r="B26" s="11">
        <f>'NVDA Stock Price History '!H30</f>
        <v>0.35883620689655166</v>
      </c>
      <c r="C26" s="11">
        <f>'JPM Stock Price History'!H30</f>
        <v>-4.6042457472233823E-2</v>
      </c>
      <c r="D26" s="11">
        <f>'JNJ Stock Price History '!H30</f>
        <v>-5.2200488997554965E-2</v>
      </c>
    </row>
    <row r="27" spans="1:4" x14ac:dyDescent="0.15">
      <c r="A27" s="10">
        <v>45078</v>
      </c>
      <c r="B27" s="11">
        <f>'NVDA Stock Price History '!H31</f>
        <v>9.8986749805144061E-2</v>
      </c>
      <c r="C27" s="11">
        <f>'JPM Stock Price History'!H31</f>
        <v>6.5338411954292311E-2</v>
      </c>
      <c r="D27" s="11">
        <f>'JNJ Stock Price History '!H31</f>
        <v>7.1049566455286775E-2</v>
      </c>
    </row>
    <row r="28" spans="1:4" x14ac:dyDescent="0.15">
      <c r="A28" s="10">
        <v>45108</v>
      </c>
      <c r="B28" s="11">
        <f>'NVDA Stock Price History '!H32</f>
        <v>9.9012229539040292E-2</v>
      </c>
      <c r="C28" s="11">
        <f>'JPM Stock Price History'!H32</f>
        <v>8.0511662904439493E-2</v>
      </c>
      <c r="D28" s="11">
        <f>'JNJ Stock Price History '!H32</f>
        <v>1.9410977242302528E-2</v>
      </c>
    </row>
    <row r="29" spans="1:4" x14ac:dyDescent="0.15">
      <c r="A29" s="10">
        <v>45139</v>
      </c>
      <c r="B29" s="11">
        <f>'NVDA Stock Price History '!H33</f>
        <v>6.2204046491605693E-2</v>
      </c>
      <c r="C29" s="11">
        <f>'JPM Stock Price History'!H33</f>
        <v>-7.0507527154925961E-2</v>
      </c>
      <c r="D29" s="11">
        <f>'JNJ Stock Price History '!H33</f>
        <v>-2.8190178517761601E-2</v>
      </c>
    </row>
    <row r="30" spans="1:4" x14ac:dyDescent="0.15">
      <c r="A30" s="10">
        <v>45170</v>
      </c>
      <c r="B30" s="11">
        <f>'NVDA Stock Price History '!H34</f>
        <v>-0.12580385852090029</v>
      </c>
      <c r="C30" s="11">
        <f>'JPM Stock Price History'!H34</f>
        <v>-7.3242521733177706E-3</v>
      </c>
      <c r="D30" s="11">
        <f>'JNJ Stock Price History '!H34</f>
        <v>-3.5125758889852483E-2</v>
      </c>
    </row>
    <row r="31" spans="1:4" x14ac:dyDescent="0.15">
      <c r="A31" s="10">
        <v>45200</v>
      </c>
      <c r="B31" s="11">
        <f>'NVDA Stock Price History '!H35</f>
        <v>-7.3813309107426756E-2</v>
      </c>
      <c r="C31" s="11">
        <f>'JPM Stock Price History'!H35</f>
        <v>-3.9839812193606362E-2</v>
      </c>
      <c r="D31" s="11">
        <f>'JNJ Stock Price History '!H35</f>
        <v>-4.5553982756401906E-2</v>
      </c>
    </row>
    <row r="32" spans="1:4" x14ac:dyDescent="0.15">
      <c r="A32" s="10">
        <v>45231</v>
      </c>
      <c r="B32" s="11">
        <f>'NVDA Stock Price History '!H36</f>
        <v>0.1440802348336595</v>
      </c>
      <c r="C32" s="11">
        <f>'JPM Stock Price History'!H36</f>
        <v>0.12086175942549381</v>
      </c>
      <c r="D32" s="11">
        <f>'JNJ Stock Price History '!H36</f>
        <v>3.6664655808030022E-2</v>
      </c>
    </row>
    <row r="33" spans="1:4" x14ac:dyDescent="0.15">
      <c r="A33" s="10">
        <v>45261</v>
      </c>
      <c r="B33" s="11">
        <f>'NVDA Stock Price History '!H37</f>
        <v>6.4259617451106851E-2</v>
      </c>
      <c r="C33" s="11">
        <f>'JPM Stock Price History'!H37</f>
        <v>9.1644204851752037E-2</v>
      </c>
      <c r="D33" s="11">
        <f>'JNJ Stock Price History '!H37</f>
        <v>1.9176681155715378E-3</v>
      </c>
    </row>
    <row r="34" spans="1:4" x14ac:dyDescent="0.15">
      <c r="A34" s="10">
        <v>45292</v>
      </c>
      <c r="B34" s="11">
        <f>'NVDA Stock Price History '!H38</f>
        <v>0.24959382615759543</v>
      </c>
      <c r="C34" s="11">
        <f>'JPM Stock Price History'!H38</f>
        <v>3.116683423029162E-2</v>
      </c>
      <c r="D34" s="11">
        <f>'JNJ Stock Price History '!H38</f>
        <v>1.2553367743579933E-2</v>
      </c>
    </row>
    <row r="35" spans="1:4" x14ac:dyDescent="0.15">
      <c r="A35" s="10">
        <v>45323</v>
      </c>
      <c r="B35" s="11">
        <f>'NVDA Stock Price History '!H39</f>
        <v>0.27391304347826084</v>
      </c>
      <c r="C35" s="11">
        <f>'JPM Stock Price History'!H39</f>
        <v>7.152729785763659E-2</v>
      </c>
      <c r="D35" s="11">
        <f>'JNJ Stock Price History '!H39</f>
        <v>2.0359129994941823E-2</v>
      </c>
    </row>
    <row r="36" spans="1:4" x14ac:dyDescent="0.15">
      <c r="A36" s="10">
        <v>45352</v>
      </c>
      <c r="B36" s="11">
        <f>'NVDA Stock Price History '!H40</f>
        <v>0.1295</v>
      </c>
      <c r="C36" s="11">
        <f>'JPM Stock Price History'!H40</f>
        <v>7.8621432417878431E-2</v>
      </c>
      <c r="D36" s="11">
        <f>'JNJ Stock Price History '!H40</f>
        <v>-2.2492739294321291E-2</v>
      </c>
    </row>
    <row r="37" spans="1:4" x14ac:dyDescent="0.15">
      <c r="A37" s="10">
        <v>45383</v>
      </c>
      <c r="B37" s="11">
        <f>'NVDA Stock Price History '!H41</f>
        <v>-4.3189368770764028E-2</v>
      </c>
      <c r="C37" s="11">
        <f>'JPM Stock Price History'!H41</f>
        <v>-4.1252062603130156E-2</v>
      </c>
      <c r="D37" s="11">
        <f>'JNJ Stock Price History '!H41</f>
        <v>-8.3248795333502379E-2</v>
      </c>
    </row>
    <row r="38" spans="1:4" x14ac:dyDescent="0.15">
      <c r="A38" s="10">
        <v>45413</v>
      </c>
      <c r="B38" s="11">
        <f>'NVDA Stock Price History '!H42</f>
        <v>0.2885519511048425</v>
      </c>
      <c r="C38" s="11">
        <f>'JPM Stock Price History'!H42</f>
        <v>5.3882560981952383E-2</v>
      </c>
      <c r="D38" s="11">
        <f>'JNJ Stock Price History '!H42</f>
        <v>-1.3916901976603613E-2</v>
      </c>
    </row>
    <row r="39" spans="1:4" x14ac:dyDescent="0.15">
      <c r="A39" s="10">
        <v>45444</v>
      </c>
      <c r="B39" s="11">
        <f>'NVDA Stock Price History '!H43</f>
        <v>8.7308572434430576E-2</v>
      </c>
      <c r="C39" s="11">
        <f>'JPM Stock Price History'!H43</f>
        <v>-2.471454698235943E-4</v>
      </c>
      <c r="D39" s="11">
        <f>'JNJ Stock Price History '!H43</f>
        <v>-7.4023769100170014E-3</v>
      </c>
    </row>
    <row r="40" spans="1:4" x14ac:dyDescent="0.15">
      <c r="A40" s="10">
        <v>45474</v>
      </c>
      <c r="B40" s="11">
        <f>'NVDA Stock Price History '!H44</f>
        <v>-5.2239410383089033E-2</v>
      </c>
      <c r="C40" s="11">
        <f>'JPM Stock Price History'!H44</f>
        <v>4.9102741076710747E-2</v>
      </c>
      <c r="D40" s="11">
        <f>'JNJ Stock Price History '!H44</f>
        <v>8.0646265489149049E-2</v>
      </c>
    </row>
    <row r="41" spans="1:4" x14ac:dyDescent="0.15">
      <c r="A41" s="10">
        <v>45505</v>
      </c>
      <c r="B41" s="11">
        <f>'NVDA Stock Price History '!H45</f>
        <v>1.5655577299412946E-2</v>
      </c>
      <c r="C41" s="11">
        <f>'JPM Stock Price History'!H45</f>
        <v>5.4409005628517935E-2</v>
      </c>
      <c r="D41" s="11">
        <f>'JNJ Stock Price History '!H45</f>
        <v>4.6567390206966333E-2</v>
      </c>
    </row>
    <row r="42" spans="1:4" x14ac:dyDescent="0.15">
      <c r="A42" s="10">
        <v>45536</v>
      </c>
      <c r="B42" s="11">
        <f>'NVDA Stock Price History '!H46</f>
        <v>4.6806309800879166E-2</v>
      </c>
      <c r="C42" s="11">
        <f>'JPM Stock Price History'!H46</f>
        <v>-5.1461988304093556E-2</v>
      </c>
      <c r="D42" s="11">
        <f>'JNJ Stock Price History '!H46</f>
        <v>-1.9244734931009481E-2</v>
      </c>
    </row>
    <row r="43" spans="1:4" x14ac:dyDescent="0.15">
      <c r="A43" s="10">
        <v>45566</v>
      </c>
      <c r="B43" s="11">
        <f>'NVDA Stock Price History '!H47</f>
        <v>9.0341655716162816E-2</v>
      </c>
      <c r="C43" s="11">
        <f>'JPM Stock Price History'!H47</f>
        <v>6.2326471996170328E-2</v>
      </c>
      <c r="D43" s="11">
        <f>'JNJ Stock Price History '!H47</f>
        <v>-1.582220033245086E-2</v>
      </c>
    </row>
    <row r="44" spans="1:4" x14ac:dyDescent="0.15">
      <c r="A44" s="10">
        <v>45597</v>
      </c>
      <c r="B44" s="11">
        <f>'NVDA Stock Price History '!H48</f>
        <v>2.6354862657758066E-2</v>
      </c>
      <c r="C44" s="11">
        <f>'JPM Stock Price History'!H48</f>
        <v>0.11701556629092859</v>
      </c>
      <c r="D44" s="11">
        <f>'JNJ Stock Price History '!H48</f>
        <v>-3.4686760493212239E-2</v>
      </c>
    </row>
    <row r="45" spans="1:4" x14ac:dyDescent="0.15">
      <c r="A45" s="10">
        <v>45627</v>
      </c>
      <c r="B45" s="11">
        <f>'NVDA Stock Price History '!H49</f>
        <v>-3.270186559101073E-2</v>
      </c>
      <c r="C45" s="11">
        <f>'JPM Stock Price History'!H49</f>
        <v>-3.943097575636146E-2</v>
      </c>
      <c r="D45" s="11">
        <f>'JNJ Stock Price History '!H49</f>
        <v>-6.5460420032310146E-2</v>
      </c>
    </row>
    <row r="46" spans="1:4" x14ac:dyDescent="0.15">
      <c r="A46" s="10">
        <v>45658</v>
      </c>
      <c r="B46" s="11">
        <f>'NVDA Stock Price History '!H50</f>
        <v>-0.11713235294117652</v>
      </c>
      <c r="C46" s="11">
        <f>'JPM Stock Price History'!H50</f>
        <v>0.10949692844097636</v>
      </c>
      <c r="D46" s="11">
        <f>'JNJ Stock Price History '!H50</f>
        <v>4.7648557460579881E-2</v>
      </c>
    </row>
    <row r="47" spans="1:4" x14ac:dyDescent="0.15">
      <c r="A47" s="10">
        <v>45689</v>
      </c>
      <c r="B47" s="11">
        <f>'NVDA Stock Price History '!H51</f>
        <v>8.8627450980392167E-2</v>
      </c>
      <c r="C47" s="11">
        <f>'JPM Stock Price History'!H51</f>
        <v>1.0770347171829025E-2</v>
      </c>
      <c r="D47" s="11">
        <f>'JNJ Stock Price History '!H51</f>
        <v>8.5657894736842169E-2</v>
      </c>
    </row>
    <row r="48" spans="1:4" x14ac:dyDescent="0.15">
      <c r="A48" s="10">
        <v>45717</v>
      </c>
      <c r="B48" s="11">
        <f>'NVDA Stock Price History '!H52</f>
        <v>-0.12250020241276018</v>
      </c>
      <c r="C48" s="11">
        <f>'JPM Stock Price History'!H52</f>
        <v>-7.083333333333329E-2</v>
      </c>
      <c r="D48" s="11">
        <f>'JNJ Stock Price History '!H52</f>
        <v>5.3346265761396424E-3</v>
      </c>
    </row>
    <row r="49" spans="1:4" x14ac:dyDescent="0.15">
      <c r="A49" s="10">
        <v>45748</v>
      </c>
      <c r="B49" s="11">
        <f>'NVDA Stock Price History '!H53</f>
        <v>3.7784535987466276E-3</v>
      </c>
      <c r="C49" s="11">
        <f>'JPM Stock Price History'!H53</f>
        <v>8.2433435001236493E-3</v>
      </c>
      <c r="D49" s="11">
        <f>'JNJ Stock Price History '!H53</f>
        <v>-2.7499533378958427E-2</v>
      </c>
    </row>
    <row r="50" spans="1:4" x14ac:dyDescent="0.15">
      <c r="A50" s="10">
        <v>45778</v>
      </c>
      <c r="B50" s="11">
        <f>'NVDA Stock Price History '!H54</f>
        <v>0.19499469402193134</v>
      </c>
      <c r="C50" s="11">
        <f>'JPM Stock Price History'!H54</f>
        <v>8.7135562510294834E-2</v>
      </c>
      <c r="D50" s="11">
        <f>'JNJ Stock Price History '!H54</f>
        <v>1.3548387096774708E-3</v>
      </c>
    </row>
    <row r="51" spans="1:4" x14ac:dyDescent="0.15">
      <c r="A51" s="10">
        <v>45809</v>
      </c>
      <c r="B51" s="11">
        <f>'NVDA Stock Price History '!H55</f>
        <v>0.16606391615617389</v>
      </c>
      <c r="C51" s="11">
        <f>'JPM Stock Price History'!H55</f>
        <v>0.10223557143943443</v>
      </c>
      <c r="D51" s="11">
        <f>'JNJ Stock Price History '!H55</f>
        <v>-1.1198860693940898E-2</v>
      </c>
    </row>
    <row r="52" spans="1:4" x14ac:dyDescent="0.15">
      <c r="A52" s="10">
        <v>45839</v>
      </c>
      <c r="B52" s="11">
        <f>'NVDA Stock Price History '!H56</f>
        <v>0.13807665237699157</v>
      </c>
      <c r="C52" s="11">
        <f>'JPM Stock Price History'!H56</f>
        <v>1.8391831963972715E-2</v>
      </c>
      <c r="D52" s="11">
        <f>'JNJ Stock Price History '!H56</f>
        <v>7.6732026143790905E-2</v>
      </c>
    </row>
    <row r="53" spans="1:4" x14ac:dyDescent="0.15">
      <c r="A53" s="10">
        <v>45870</v>
      </c>
      <c r="B53" s="11">
        <f>'NVDA Stock Price History '!H57</f>
        <v>5.1697397897641111E-4</v>
      </c>
      <c r="C53" s="11">
        <f>'JPM Stock Price History'!H57</f>
        <v>3.7947658402203994E-2</v>
      </c>
      <c r="D53" s="11">
        <f>'JNJ Stock Price History '!H57</f>
        <v>7.064297800338408E-2</v>
      </c>
    </row>
    <row r="54" spans="1:4" x14ac:dyDescent="0.15">
      <c r="A54" s="10">
        <v>45901</v>
      </c>
      <c r="B54" s="11">
        <f>'NVDA Stock Price History '!H58</f>
        <v>9.7529411764705962E-2</v>
      </c>
      <c r="C54" s="11">
        <f>'JPM Stock Price History'!H58</f>
        <v>5.0522880170518938E-2</v>
      </c>
      <c r="D54" s="11">
        <f>'JNJ Stock Price History '!H58</f>
        <v>4.4796303600608489E-2</v>
      </c>
    </row>
    <row r="55" spans="1:4" x14ac:dyDescent="0.15">
      <c r="A55" s="10">
        <v>45931</v>
      </c>
      <c r="B55" s="11">
        <f>'NVDA Stock Price History '!H59</f>
        <v>9.3122435759015326E-2</v>
      </c>
      <c r="C55" s="11">
        <f>'JPM Stock Price History'!H59</f>
        <v>-9.0773003790171752E-3</v>
      </c>
      <c r="D55" s="11">
        <f>'JNJ Stock Price History '!H59</f>
        <v>1.5430107526881745E-2</v>
      </c>
    </row>
    <row r="56" spans="1:4" x14ac:dyDescent="0.15">
      <c r="A56" s="10">
        <v>45962</v>
      </c>
      <c r="B56" s="11">
        <f>'NVDA Stock Price History '!H60</f>
        <v>-0.14936562860438299</v>
      </c>
      <c r="C56" s="11">
        <f>'JPM Stock Price History'!H60</f>
        <v>6.6881028938906243E-3</v>
      </c>
      <c r="D56" s="11">
        <f>'JNJ Stock Price History '!H60</f>
        <v>9.4814814814814755E-2</v>
      </c>
    </row>
    <row r="57" spans="1:4" x14ac:dyDescent="0.15">
      <c r="A57" s="10">
        <v>45992</v>
      </c>
      <c r="B57" s="11">
        <f>'NVDA Stock Price History '!H61</f>
        <v>6.717784390020605E-2</v>
      </c>
      <c r="C57" s="11">
        <f>'JPM Stock Price History'!H61</f>
        <v>2.9621345262821661E-2</v>
      </c>
      <c r="D57" s="11">
        <f>'JNJ Stock Price History '!H61</f>
        <v>2.1791767554478867E-3</v>
      </c>
    </row>
    <row r="58" spans="1:4" x14ac:dyDescent="0.15">
      <c r="A58" s="10">
        <v>46023</v>
      </c>
      <c r="B58" s="11">
        <f>'NVDA Stock Price History '!H62</f>
        <v>6.7951959544879474E-3</v>
      </c>
      <c r="C58" s="11">
        <f>'JPM Stock Price History'!H62</f>
        <v>-5.1503875968992294E-2</v>
      </c>
      <c r="D58" s="11">
        <f>'JNJ Stock Price History '!H62</f>
        <v>9.8781549173194122E-2</v>
      </c>
    </row>
    <row r="59" spans="1:4" x14ac:dyDescent="0.15">
      <c r="A59" s="10">
        <v>46054</v>
      </c>
      <c r="B59" s="11">
        <f>'NVDA Stock Price History '!H63</f>
        <v>-5.3472222222222178E-2</v>
      </c>
      <c r="C59" s="11">
        <f>'JPM Stock Price History'!H63</f>
        <v>-1.3663535439794943E-2</v>
      </c>
      <c r="D59" s="11">
        <f>'JNJ Stock Price History '!H63</f>
        <v>8.8078135949544556E-2</v>
      </c>
    </row>
    <row r="60" spans="1:4" x14ac:dyDescent="0.15">
      <c r="A60" s="10">
        <v>46082</v>
      </c>
      <c r="B60" s="11">
        <f>'NVDA Stock Price History '!H64</f>
        <v>-3.485515113422006E-3</v>
      </c>
      <c r="C60" s="11">
        <f>'JPM Stock Price History'!H64</f>
        <v>-2.2048098775481742E-3</v>
      </c>
      <c r="D60" s="11">
        <f>'JNJ Stock Price History '!H64</f>
        <v>-1.9061760102732854E-2</v>
      </c>
    </row>
    <row r="61" spans="1:4" x14ac:dyDescent="0.15">
      <c r="A61" s="10">
        <v>46113</v>
      </c>
      <c r="B61" s="11">
        <f>'NVDA Stock Price History '!H65</f>
        <v>0.2155681818181818</v>
      </c>
      <c r="C61" s="11">
        <f>'JPM Stock Price History'!H65</f>
        <v>5.4775043163275694E-2</v>
      </c>
      <c r="D61" s="11">
        <f>'JNJ Stock Price History '!H65</f>
        <v>-7.4144951140065182E-2</v>
      </c>
    </row>
    <row r="62" spans="1:4" x14ac:dyDescent="0.15">
      <c r="A62" s="2" t="s">
        <v>200</v>
      </c>
      <c r="B62" s="11">
        <f>AVERAGE(B2:B61)</f>
        <v>5.413766192269874E-2</v>
      </c>
      <c r="C62" s="11">
        <f>AVERAGE(C2:C61)</f>
        <v>1.4254885853978154E-2</v>
      </c>
      <c r="D62" s="11">
        <f t="shared" ref="C62:D62" si="0">AVERAGE(D2:D61)</f>
        <v>6.5912364463559447E-3</v>
      </c>
    </row>
    <row r="63" spans="1:4" x14ac:dyDescent="0.15">
      <c r="A63" s="2" t="s">
        <v>201</v>
      </c>
      <c r="B63" s="11">
        <f>_xlfn.STDEV.S(B2:B61)</f>
        <v>0.14628819831049053</v>
      </c>
      <c r="C63" s="11">
        <f t="shared" ref="C63:D63" si="1">_xlfn.STDEV.S(C2:C61)</f>
        <v>6.6958887307288065E-2</v>
      </c>
      <c r="D63" s="11">
        <f t="shared" si="1"/>
        <v>4.8880336772488278E-2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79BF-1185-904E-A542-329280E26527}">
  <sheetPr codeName="Sheet5"/>
  <dimension ref="A1:H63"/>
  <sheetViews>
    <sheetView workbookViewId="0">
      <selection sqref="A1:XFD1048576"/>
    </sheetView>
  </sheetViews>
  <sheetFormatPr baseColWidth="10" defaultColWidth="11.5" defaultRowHeight="14" x14ac:dyDescent="0.15"/>
  <cols>
    <col min="1" max="1" width="15.6640625" style="2" bestFit="1" customWidth="1"/>
    <col min="2" max="6" width="11.5" style="2"/>
    <col min="7" max="7" width="21" style="2" bestFit="1" customWidth="1"/>
    <col min="8" max="8" width="13.83203125" style="2" customWidth="1"/>
    <col min="9" max="16384" width="11.5" style="2"/>
  </cols>
  <sheetData>
    <row r="1" spans="1:8" x14ac:dyDescent="0.15">
      <c r="A1" s="3" t="s">
        <v>196</v>
      </c>
      <c r="B1" s="3" t="s">
        <v>197</v>
      </c>
      <c r="C1" s="3" t="s">
        <v>198</v>
      </c>
      <c r="D1" s="3" t="s">
        <v>199</v>
      </c>
      <c r="G1" s="24"/>
      <c r="H1" s="25"/>
    </row>
    <row r="2" spans="1:8" x14ac:dyDescent="0.15">
      <c r="A2" s="10">
        <v>44317</v>
      </c>
      <c r="B2" s="11">
        <f>'NVDA Stock Price History '!H6</f>
        <v>7.3364177131526612E-2</v>
      </c>
      <c r="C2" s="11">
        <f>'JPM Stock Price History'!H6</f>
        <v>6.0639328382305555E-2</v>
      </c>
      <c r="D2" s="11">
        <f>'JNJ Stock Price History '!H6</f>
        <v>3.4535452322738421E-2</v>
      </c>
      <c r="G2" s="24"/>
      <c r="H2" s="26"/>
    </row>
    <row r="3" spans="1:8" x14ac:dyDescent="0.15">
      <c r="A3" s="10">
        <v>44348</v>
      </c>
      <c r="B3" s="11">
        <f>'NVDA Stock Price History '!H7</f>
        <v>0.22925629993853722</v>
      </c>
      <c r="C3" s="11">
        <f>'JPM Stock Price History'!H7</f>
        <v>-6.2277687345511618E-2</v>
      </c>
      <c r="D3" s="11">
        <f>'JNJ Stock Price History '!H7</f>
        <v>-3.1795474581251815E-2</v>
      </c>
      <c r="G3" s="24"/>
      <c r="H3" s="25"/>
    </row>
    <row r="4" spans="1:8" x14ac:dyDescent="0.15">
      <c r="A4" s="10">
        <v>44378</v>
      </c>
      <c r="B4" s="11">
        <f>'NVDA Stock Price History '!H8</f>
        <v>-3.1296572280178792E-2</v>
      </c>
      <c r="C4" s="11">
        <f>'JPM Stock Price History'!H8</f>
        <v>-2.8670165109432932E-2</v>
      </c>
      <c r="D4" s="11">
        <f>'JNJ Stock Price History '!H8</f>
        <v>4.5283476994051108E-2</v>
      </c>
      <c r="G4" s="24"/>
      <c r="H4" s="25"/>
    </row>
    <row r="5" spans="1:8" x14ac:dyDescent="0.15">
      <c r="A5" s="10">
        <v>44409</v>
      </c>
      <c r="B5" s="11">
        <f>'NVDA Stock Price History '!H9</f>
        <v>0.13654822335025388</v>
      </c>
      <c r="C5" s="11">
        <f>'JPM Stock Price History'!H9</f>
        <v>5.2094981253699844E-2</v>
      </c>
      <c r="D5" s="11">
        <f>'JNJ Stock Price History '!H9</f>
        <v>3.8267524786919265E-3</v>
      </c>
      <c r="G5" s="24"/>
      <c r="H5" s="26"/>
    </row>
    <row r="6" spans="1:8" x14ac:dyDescent="0.15">
      <c r="A6" s="10">
        <v>44440</v>
      </c>
      <c r="B6" s="11">
        <f>'NVDA Stock Price History '!H10</f>
        <v>-7.8701645175633606E-2</v>
      </c>
      <c r="C6" s="11">
        <f>'JPM Stock Price History'!H10</f>
        <v>2.1657720634128068E-2</v>
      </c>
      <c r="D6" s="11">
        <f>'JNJ Stock Price History '!H10</f>
        <v>-6.5934065934065963E-2</v>
      </c>
    </row>
    <row r="7" spans="1:8" x14ac:dyDescent="0.15">
      <c r="A7" s="10">
        <v>44470</v>
      </c>
      <c r="B7" s="11">
        <f>'NVDA Stock Price History '!H11</f>
        <v>0.23228915662650604</v>
      </c>
      <c r="C7" s="11">
        <f>'JPM Stock Price History'!H11</f>
        <v>3.5914634146341377E-2</v>
      </c>
      <c r="D7" s="11">
        <f>'JNJ Stock Price History '!H11</f>
        <v>8.3575806351760939E-3</v>
      </c>
    </row>
    <row r="8" spans="1:8" x14ac:dyDescent="0.15">
      <c r="A8" s="10">
        <v>44501</v>
      </c>
      <c r="B8" s="11">
        <f>'NVDA Stock Price History '!H12</f>
        <v>0.27407407407407414</v>
      </c>
      <c r="C8" s="11">
        <f>'JPM Stock Price History'!H12</f>
        <v>-7.6784468728202632E-2</v>
      </c>
      <c r="D8" s="11">
        <f>'JNJ Stock Price History '!H12</f>
        <v>-4.4312331453787629E-2</v>
      </c>
    </row>
    <row r="9" spans="1:8" x14ac:dyDescent="0.15">
      <c r="A9" s="10">
        <v>44531</v>
      </c>
      <c r="B9" s="11">
        <f>'NVDA Stock Price History '!H13</f>
        <v>-0.11468994581577359</v>
      </c>
      <c r="C9" s="11">
        <f>'JPM Stock Price History'!H13</f>
        <v>-1.645962732919258E-2</v>
      </c>
      <c r="D9" s="11">
        <f>'JNJ Stock Price History '!H13</f>
        <v>9.0451300356960723E-2</v>
      </c>
    </row>
    <row r="10" spans="1:8" x14ac:dyDescent="0.15">
      <c r="A10" s="10">
        <v>44562</v>
      </c>
      <c r="B10" s="11">
        <f>'NVDA Stock Price History '!H14</f>
        <v>-0.17873910127431261</v>
      </c>
      <c r="C10" s="11">
        <f>'JPM Stock Price History'!H14</f>
        <v>-7.0436632053046525E-2</v>
      </c>
      <c r="D10" s="11">
        <f>'JNJ Stock Price History '!H14</f>
        <v>1.2220198578226801E-2</v>
      </c>
    </row>
    <row r="11" spans="1:8" x14ac:dyDescent="0.15">
      <c r="A11" s="10">
        <v>44593</v>
      </c>
      <c r="B11" s="11">
        <f>'NVDA Stock Price History '!H15</f>
        <v>-2.8286852589641465E-2</v>
      </c>
      <c r="C11" s="11">
        <f>'JPM Stock Price History'!H15</f>
        <v>-4.633801869661703E-2</v>
      </c>
      <c r="D11" s="11">
        <f>'JNJ Stock Price History '!H15</f>
        <v>-4.1749155700477554E-2</v>
      </c>
    </row>
    <row r="12" spans="1:8" x14ac:dyDescent="0.15">
      <c r="A12" s="10">
        <v>44621</v>
      </c>
      <c r="B12" s="11">
        <f>'NVDA Stock Price History '!H16</f>
        <v>0.12350761630300536</v>
      </c>
      <c r="C12" s="11">
        <f>'JPM Stock Price History'!H16</f>
        <v>-2.6563838903170517E-2</v>
      </c>
      <c r="D12" s="11">
        <f>'JNJ Stock Price History '!H16</f>
        <v>8.7033856722276731E-2</v>
      </c>
    </row>
    <row r="13" spans="1:8" x14ac:dyDescent="0.15">
      <c r="A13" s="10">
        <v>44652</v>
      </c>
      <c r="B13" s="11">
        <f>'NVDA Stock Price History '!H17</f>
        <v>-0.32249817384952517</v>
      </c>
      <c r="C13" s="11">
        <f>'JPM Stock Price History'!H17</f>
        <v>-0.1312954876273654</v>
      </c>
      <c r="D13" s="11">
        <f>'JNJ Stock Price History '!H17</f>
        <v>1.926009601807397E-2</v>
      </c>
    </row>
    <row r="14" spans="1:8" x14ac:dyDescent="0.15">
      <c r="A14" s="10">
        <v>44682</v>
      </c>
      <c r="B14" s="11">
        <f>'NVDA Stock Price History '!H18</f>
        <v>7.0118662351673442E-3</v>
      </c>
      <c r="C14" s="11">
        <f>'JPM Stock Price History'!H18</f>
        <v>0.10301968635301964</v>
      </c>
      <c r="D14" s="11">
        <f>'JNJ Stock Price History '!H18</f>
        <v>-5.2086219316229716E-3</v>
      </c>
    </row>
    <row r="15" spans="1:8" x14ac:dyDescent="0.15">
      <c r="A15" s="10">
        <v>44713</v>
      </c>
      <c r="B15" s="11">
        <f>'NVDA Stock Price History '!H19</f>
        <v>-0.19017094017094011</v>
      </c>
      <c r="C15" s="11">
        <f>'JPM Stock Price History'!H19</f>
        <v>-0.1524798675397005</v>
      </c>
      <c r="D15" s="11">
        <f>'JNJ Stock Price History '!H19</f>
        <v>-9.1543399385990223E-3</v>
      </c>
    </row>
    <row r="16" spans="1:8" x14ac:dyDescent="0.15">
      <c r="A16" s="10">
        <v>44743</v>
      </c>
      <c r="B16" s="11">
        <f>'NVDA Stock Price History '!H20</f>
        <v>0.21879194630872481</v>
      </c>
      <c r="C16" s="11">
        <f>'JPM Stock Price History'!H20</f>
        <v>2.4056813138038115E-2</v>
      </c>
      <c r="D16" s="11">
        <f>'JNJ Stock Price History '!H20</f>
        <v>-1.6511693434770238E-2</v>
      </c>
    </row>
    <row r="17" spans="1:4" x14ac:dyDescent="0.15">
      <c r="A17" s="10">
        <v>44774</v>
      </c>
      <c r="B17" s="11">
        <f>'NVDA Stock Price History '!H21</f>
        <v>-0.16996699669966997</v>
      </c>
      <c r="C17" s="11">
        <f>'JPM Stock Price History'!H21</f>
        <v>-6.724890829694288E-3</v>
      </c>
      <c r="D17" s="11">
        <f>'JNJ Stock Price History '!H21</f>
        <v>-7.3663661939484329E-2</v>
      </c>
    </row>
    <row r="18" spans="1:4" x14ac:dyDescent="0.15">
      <c r="A18" s="10">
        <v>44805</v>
      </c>
      <c r="B18" s="11">
        <f>'NVDA Stock Price History '!H22</f>
        <v>-0.14567206192821958</v>
      </c>
      <c r="C18" s="11">
        <f>'JPM Stock Price History'!H22</f>
        <v>-7.7588489716656425E-2</v>
      </c>
      <c r="D18" s="11">
        <f>'JNJ Stock Price History '!H22</f>
        <v>1.1579664375503155E-2</v>
      </c>
    </row>
    <row r="19" spans="1:4" x14ac:dyDescent="0.15">
      <c r="A19" s="10">
        <v>44835</v>
      </c>
      <c r="B19" s="11">
        <f>'NVDA Stock Price History '!H23</f>
        <v>9.3117408906882623E-2</v>
      </c>
      <c r="C19" s="11">
        <f>'JPM Stock Price History'!H23</f>
        <v>0.1918197311115318</v>
      </c>
      <c r="D19" s="11">
        <f>'JNJ Stock Price History '!H23</f>
        <v>5.8920202081684872E-2</v>
      </c>
    </row>
    <row r="20" spans="1:4" x14ac:dyDescent="0.15">
      <c r="A20" s="10">
        <v>44866</v>
      </c>
      <c r="B20" s="11">
        <f>'NVDA Stock Price History '!H24</f>
        <v>0.22519913106444614</v>
      </c>
      <c r="C20" s="11">
        <f>'JPM Stock Price History'!H24</f>
        <v>8.914637030030742E-2</v>
      </c>
      <c r="D20" s="11">
        <f>'JNJ Stock Price History '!H24</f>
        <v>2.2635872687578981E-2</v>
      </c>
    </row>
    <row r="21" spans="1:4" x14ac:dyDescent="0.15">
      <c r="A21" s="10">
        <v>44896</v>
      </c>
      <c r="B21" s="11">
        <f>'NVDA Stock Price History '!H25</f>
        <v>-0.14058823529411768</v>
      </c>
      <c r="C21" s="11">
        <f>'JPM Stock Price History'!H25</f>
        <v>-2.9526704298740863E-2</v>
      </c>
      <c r="D21" s="11">
        <f>'JNJ Stock Price History '!H25</f>
        <v>-1.3128491620111701E-2</v>
      </c>
    </row>
    <row r="22" spans="1:4" x14ac:dyDescent="0.15">
      <c r="A22" s="10">
        <v>44927</v>
      </c>
      <c r="B22" s="11">
        <f>'NVDA Stock Price History '!H26</f>
        <v>0.31582491582491579</v>
      </c>
      <c r="C22" s="11">
        <f>'JPM Stock Price History'!H26</f>
        <v>3.4900916888494518E-2</v>
      </c>
      <c r="D22" s="11">
        <f>'JNJ Stock Price History '!H26</f>
        <v>-7.2320617620345196E-2</v>
      </c>
    </row>
    <row r="23" spans="1:4" x14ac:dyDescent="0.15">
      <c r="A23" s="10">
        <v>44958</v>
      </c>
      <c r="B23" s="11">
        <f>'NVDA Stock Price History '!H27</f>
        <v>0.17927882173692217</v>
      </c>
      <c r="C23" s="11">
        <f>'JPM Stock Price History'!H27</f>
        <v>3.7189783662542407E-2</v>
      </c>
      <c r="D23" s="11">
        <f>'JNJ Stock Price History '!H27</f>
        <v>-5.9696913921099562E-2</v>
      </c>
    </row>
    <row r="24" spans="1:4" x14ac:dyDescent="0.15">
      <c r="A24" s="10">
        <v>44986</v>
      </c>
      <c r="B24" s="11">
        <f>'NVDA Stock Price History '!H28</f>
        <v>0.19793014230271666</v>
      </c>
      <c r="C24" s="11">
        <f>'JPM Stock Price History'!H28</f>
        <v>-8.2969739619985869E-2</v>
      </c>
      <c r="D24" s="11">
        <f>'JNJ Stock Price History '!H28</f>
        <v>1.3005685902882225E-2</v>
      </c>
    </row>
    <row r="25" spans="1:4" x14ac:dyDescent="0.15">
      <c r="A25" s="10">
        <v>45017</v>
      </c>
      <c r="B25" s="11">
        <f>'NVDA Stock Price History '!H29</f>
        <v>8.7241003271537054E-3</v>
      </c>
      <c r="C25" s="11">
        <f>'JPM Stock Price History'!H29</f>
        <v>6.4121314756369896E-2</v>
      </c>
      <c r="D25" s="11">
        <f>'JNJ Stock Price History '!H29</f>
        <v>5.6469828977089388E-2</v>
      </c>
    </row>
    <row r="26" spans="1:4" x14ac:dyDescent="0.15">
      <c r="A26" s="10">
        <v>45047</v>
      </c>
      <c r="B26" s="11">
        <f>'NVDA Stock Price History '!H30</f>
        <v>0.35883620689655166</v>
      </c>
      <c r="C26" s="11">
        <f>'JPM Stock Price History'!H30</f>
        <v>-4.6042457472233823E-2</v>
      </c>
      <c r="D26" s="11">
        <f>'JNJ Stock Price History '!H30</f>
        <v>-5.2200488997554965E-2</v>
      </c>
    </row>
    <row r="27" spans="1:4" x14ac:dyDescent="0.15">
      <c r="A27" s="10">
        <v>45078</v>
      </c>
      <c r="B27" s="11">
        <f>'NVDA Stock Price History '!H31</f>
        <v>9.8986749805144061E-2</v>
      </c>
      <c r="C27" s="11">
        <f>'JPM Stock Price History'!H31</f>
        <v>6.5338411954292311E-2</v>
      </c>
      <c r="D27" s="11">
        <f>'JNJ Stock Price History '!H31</f>
        <v>7.1049566455286775E-2</v>
      </c>
    </row>
    <row r="28" spans="1:4" x14ac:dyDescent="0.15">
      <c r="A28" s="10">
        <v>45108</v>
      </c>
      <c r="B28" s="11">
        <f>'NVDA Stock Price History '!H32</f>
        <v>9.9012229539040292E-2</v>
      </c>
      <c r="C28" s="11">
        <f>'JPM Stock Price History'!H32</f>
        <v>8.0511662904439493E-2</v>
      </c>
      <c r="D28" s="11">
        <f>'JNJ Stock Price History '!H32</f>
        <v>1.9410977242302528E-2</v>
      </c>
    </row>
    <row r="29" spans="1:4" x14ac:dyDescent="0.15">
      <c r="A29" s="10">
        <v>45139</v>
      </c>
      <c r="B29" s="11">
        <f>'NVDA Stock Price History '!H33</f>
        <v>6.2204046491605693E-2</v>
      </c>
      <c r="C29" s="11">
        <f>'JPM Stock Price History'!H33</f>
        <v>-7.0507527154925961E-2</v>
      </c>
      <c r="D29" s="11">
        <f>'JNJ Stock Price History '!H33</f>
        <v>-2.8190178517761601E-2</v>
      </c>
    </row>
    <row r="30" spans="1:4" x14ac:dyDescent="0.15">
      <c r="A30" s="10">
        <v>45170</v>
      </c>
      <c r="B30" s="11">
        <f>'NVDA Stock Price History '!H34</f>
        <v>-0.12580385852090029</v>
      </c>
      <c r="C30" s="11">
        <f>'JPM Stock Price History'!H34</f>
        <v>-7.3242521733177706E-3</v>
      </c>
      <c r="D30" s="11">
        <f>'JNJ Stock Price History '!H34</f>
        <v>-3.5125758889852483E-2</v>
      </c>
    </row>
    <row r="31" spans="1:4" x14ac:dyDescent="0.15">
      <c r="A31" s="10">
        <v>45200</v>
      </c>
      <c r="B31" s="11">
        <f>'NVDA Stock Price History '!H35</f>
        <v>-7.3813309107426756E-2</v>
      </c>
      <c r="C31" s="11">
        <f>'JPM Stock Price History'!H35</f>
        <v>-3.9839812193606362E-2</v>
      </c>
      <c r="D31" s="11">
        <f>'JNJ Stock Price History '!H35</f>
        <v>-4.5553982756401906E-2</v>
      </c>
    </row>
    <row r="32" spans="1:4" x14ac:dyDescent="0.15">
      <c r="A32" s="10">
        <v>45231</v>
      </c>
      <c r="B32" s="11">
        <f>'NVDA Stock Price History '!H36</f>
        <v>0.1440802348336595</v>
      </c>
      <c r="C32" s="11">
        <f>'JPM Stock Price History'!H36</f>
        <v>0.12086175942549381</v>
      </c>
      <c r="D32" s="11">
        <f>'JNJ Stock Price History '!H36</f>
        <v>3.6664655808030022E-2</v>
      </c>
    </row>
    <row r="33" spans="1:4" x14ac:dyDescent="0.15">
      <c r="A33" s="10">
        <v>45261</v>
      </c>
      <c r="B33" s="11">
        <f>'NVDA Stock Price History '!H37</f>
        <v>6.4259617451106851E-2</v>
      </c>
      <c r="C33" s="11">
        <f>'JPM Stock Price History'!H37</f>
        <v>9.1644204851752037E-2</v>
      </c>
      <c r="D33" s="11">
        <f>'JNJ Stock Price History '!H37</f>
        <v>1.9176681155715378E-3</v>
      </c>
    </row>
    <row r="34" spans="1:4" x14ac:dyDescent="0.15">
      <c r="A34" s="10">
        <v>45292</v>
      </c>
      <c r="B34" s="11">
        <f>'NVDA Stock Price History '!H38</f>
        <v>0.24959382615759543</v>
      </c>
      <c r="C34" s="11">
        <f>'JPM Stock Price History'!H38</f>
        <v>3.116683423029162E-2</v>
      </c>
      <c r="D34" s="11">
        <f>'JNJ Stock Price History '!H38</f>
        <v>1.2553367743579933E-2</v>
      </c>
    </row>
    <row r="35" spans="1:4" x14ac:dyDescent="0.15">
      <c r="A35" s="10">
        <v>45323</v>
      </c>
      <c r="B35" s="11">
        <f>'NVDA Stock Price History '!H39</f>
        <v>0.27391304347826084</v>
      </c>
      <c r="C35" s="11">
        <f>'JPM Stock Price History'!H39</f>
        <v>7.152729785763659E-2</v>
      </c>
      <c r="D35" s="11">
        <f>'JNJ Stock Price History '!H39</f>
        <v>2.0359129994941823E-2</v>
      </c>
    </row>
    <row r="36" spans="1:4" x14ac:dyDescent="0.15">
      <c r="A36" s="10">
        <v>45352</v>
      </c>
      <c r="B36" s="11">
        <f>'NVDA Stock Price History '!H40</f>
        <v>0.1295</v>
      </c>
      <c r="C36" s="11">
        <f>'JPM Stock Price History'!H40</f>
        <v>7.8621432417878431E-2</v>
      </c>
      <c r="D36" s="11">
        <f>'JNJ Stock Price History '!H40</f>
        <v>-2.2492739294321291E-2</v>
      </c>
    </row>
    <row r="37" spans="1:4" x14ac:dyDescent="0.15">
      <c r="A37" s="10">
        <v>45383</v>
      </c>
      <c r="B37" s="11">
        <f>'NVDA Stock Price History '!H41</f>
        <v>-4.3189368770764028E-2</v>
      </c>
      <c r="C37" s="11">
        <f>'JPM Stock Price History'!H41</f>
        <v>-4.1252062603130156E-2</v>
      </c>
      <c r="D37" s="11">
        <f>'JNJ Stock Price History '!H41</f>
        <v>-8.3248795333502379E-2</v>
      </c>
    </row>
    <row r="38" spans="1:4" x14ac:dyDescent="0.15">
      <c r="A38" s="10">
        <v>45413</v>
      </c>
      <c r="B38" s="11">
        <f>'NVDA Stock Price History '!H42</f>
        <v>0.2885519511048425</v>
      </c>
      <c r="C38" s="11">
        <f>'JPM Stock Price History'!H42</f>
        <v>5.3882560981952383E-2</v>
      </c>
      <c r="D38" s="11">
        <f>'JNJ Stock Price History '!H42</f>
        <v>-1.3916901976603613E-2</v>
      </c>
    </row>
    <row r="39" spans="1:4" x14ac:dyDescent="0.15">
      <c r="A39" s="10">
        <v>45444</v>
      </c>
      <c r="B39" s="11">
        <f>'NVDA Stock Price History '!H43</f>
        <v>8.7308572434430576E-2</v>
      </c>
      <c r="C39" s="11">
        <f>'JPM Stock Price History'!H43</f>
        <v>-2.471454698235943E-4</v>
      </c>
      <c r="D39" s="11">
        <f>'JNJ Stock Price History '!H43</f>
        <v>-7.4023769100170014E-3</v>
      </c>
    </row>
    <row r="40" spans="1:4" x14ac:dyDescent="0.15">
      <c r="A40" s="10">
        <v>45474</v>
      </c>
      <c r="B40" s="11">
        <f>'NVDA Stock Price History '!H44</f>
        <v>-5.2239410383089033E-2</v>
      </c>
      <c r="C40" s="11">
        <f>'JPM Stock Price History'!H44</f>
        <v>4.9102741076710747E-2</v>
      </c>
      <c r="D40" s="11">
        <f>'JNJ Stock Price History '!H44</f>
        <v>8.0646265489149049E-2</v>
      </c>
    </row>
    <row r="41" spans="1:4" x14ac:dyDescent="0.15">
      <c r="A41" s="10">
        <v>45505</v>
      </c>
      <c r="B41" s="11">
        <f>'NVDA Stock Price History '!H45</f>
        <v>1.5655577299412946E-2</v>
      </c>
      <c r="C41" s="11">
        <f>'JPM Stock Price History'!H45</f>
        <v>5.4409005628517935E-2</v>
      </c>
      <c r="D41" s="11">
        <f>'JNJ Stock Price History '!H45</f>
        <v>4.6567390206966333E-2</v>
      </c>
    </row>
    <row r="42" spans="1:4" x14ac:dyDescent="0.15">
      <c r="A42" s="10">
        <v>45536</v>
      </c>
      <c r="B42" s="11">
        <f>'NVDA Stock Price History '!H46</f>
        <v>4.6806309800879166E-2</v>
      </c>
      <c r="C42" s="11">
        <f>'JPM Stock Price History'!H46</f>
        <v>-5.1461988304093556E-2</v>
      </c>
      <c r="D42" s="11">
        <f>'JNJ Stock Price History '!H46</f>
        <v>-1.9244734931009481E-2</v>
      </c>
    </row>
    <row r="43" spans="1:4" x14ac:dyDescent="0.15">
      <c r="A43" s="10">
        <v>45566</v>
      </c>
      <c r="B43" s="11">
        <f>'NVDA Stock Price History '!H47</f>
        <v>9.0341655716162816E-2</v>
      </c>
      <c r="C43" s="11">
        <f>'JPM Stock Price History'!H47</f>
        <v>6.2326471996170328E-2</v>
      </c>
      <c r="D43" s="11">
        <f>'JNJ Stock Price History '!H47</f>
        <v>-1.582220033245086E-2</v>
      </c>
    </row>
    <row r="44" spans="1:4" x14ac:dyDescent="0.15">
      <c r="A44" s="10">
        <v>45597</v>
      </c>
      <c r="B44" s="11">
        <f>'NVDA Stock Price History '!H48</f>
        <v>2.6354862657758066E-2</v>
      </c>
      <c r="C44" s="11">
        <f>'JPM Stock Price History'!H48</f>
        <v>0.11701556629092859</v>
      </c>
      <c r="D44" s="11">
        <f>'JNJ Stock Price History '!H48</f>
        <v>-3.4686760493212239E-2</v>
      </c>
    </row>
    <row r="45" spans="1:4" x14ac:dyDescent="0.15">
      <c r="A45" s="10">
        <v>45627</v>
      </c>
      <c r="B45" s="11">
        <f>'NVDA Stock Price History '!H49</f>
        <v>-3.270186559101073E-2</v>
      </c>
      <c r="C45" s="11">
        <f>'JPM Stock Price History'!H49</f>
        <v>-3.943097575636146E-2</v>
      </c>
      <c r="D45" s="11">
        <f>'JNJ Stock Price History '!H49</f>
        <v>-6.5460420032310146E-2</v>
      </c>
    </row>
    <row r="46" spans="1:4" x14ac:dyDescent="0.15">
      <c r="A46" s="10">
        <v>45658</v>
      </c>
      <c r="B46" s="11">
        <f>'NVDA Stock Price History '!H50</f>
        <v>-0.11713235294117652</v>
      </c>
      <c r="C46" s="11">
        <f>'JPM Stock Price History'!H50</f>
        <v>0.10949692844097636</v>
      </c>
      <c r="D46" s="11">
        <f>'JNJ Stock Price History '!H50</f>
        <v>4.7648557460579881E-2</v>
      </c>
    </row>
    <row r="47" spans="1:4" x14ac:dyDescent="0.15">
      <c r="A47" s="10">
        <v>45689</v>
      </c>
      <c r="B47" s="11">
        <f>'NVDA Stock Price History '!H51</f>
        <v>8.8627450980392167E-2</v>
      </c>
      <c r="C47" s="11">
        <f>'JPM Stock Price History'!H51</f>
        <v>1.0770347171829025E-2</v>
      </c>
      <c r="D47" s="11">
        <f>'JNJ Stock Price History '!H51</f>
        <v>8.5657894736842169E-2</v>
      </c>
    </row>
    <row r="48" spans="1:4" x14ac:dyDescent="0.15">
      <c r="A48" s="10">
        <v>45717</v>
      </c>
      <c r="B48" s="11">
        <f>'NVDA Stock Price History '!H52</f>
        <v>-0.12250020241276018</v>
      </c>
      <c r="C48" s="11">
        <f>'JPM Stock Price History'!H52</f>
        <v>-7.083333333333329E-2</v>
      </c>
      <c r="D48" s="11">
        <f>'JNJ Stock Price History '!H52</f>
        <v>5.3346265761396424E-3</v>
      </c>
    </row>
    <row r="49" spans="1:4" x14ac:dyDescent="0.15">
      <c r="A49" s="10">
        <v>45748</v>
      </c>
      <c r="B49" s="11">
        <f>'NVDA Stock Price History '!H53</f>
        <v>3.7784535987466276E-3</v>
      </c>
      <c r="C49" s="11">
        <f>'JPM Stock Price History'!H53</f>
        <v>8.2433435001236493E-3</v>
      </c>
      <c r="D49" s="11">
        <f>'JNJ Stock Price History '!H53</f>
        <v>-2.7499533378958427E-2</v>
      </c>
    </row>
    <row r="50" spans="1:4" x14ac:dyDescent="0.15">
      <c r="A50" s="10">
        <v>45778</v>
      </c>
      <c r="B50" s="11">
        <f>'NVDA Stock Price History '!H54</f>
        <v>0.19499469402193134</v>
      </c>
      <c r="C50" s="11">
        <f>'JPM Stock Price History'!H54</f>
        <v>8.7135562510294834E-2</v>
      </c>
      <c r="D50" s="11">
        <f>'JNJ Stock Price History '!H54</f>
        <v>1.3548387096774708E-3</v>
      </c>
    </row>
    <row r="51" spans="1:4" x14ac:dyDescent="0.15">
      <c r="A51" s="10">
        <v>45809</v>
      </c>
      <c r="B51" s="11">
        <f>'NVDA Stock Price History '!H55</f>
        <v>0.16606391615617389</v>
      </c>
      <c r="C51" s="11">
        <f>'JPM Stock Price History'!H55</f>
        <v>0.10223557143943443</v>
      </c>
      <c r="D51" s="11">
        <f>'JNJ Stock Price History '!H55</f>
        <v>-1.1198860693940898E-2</v>
      </c>
    </row>
    <row r="52" spans="1:4" x14ac:dyDescent="0.15">
      <c r="A52" s="10">
        <v>45839</v>
      </c>
      <c r="B52" s="11">
        <f>'NVDA Stock Price History '!H56</f>
        <v>0.13807665237699157</v>
      </c>
      <c r="C52" s="11">
        <f>'JPM Stock Price History'!H56</f>
        <v>1.8391831963972715E-2</v>
      </c>
      <c r="D52" s="11">
        <f>'JNJ Stock Price History '!H56</f>
        <v>7.6732026143790905E-2</v>
      </c>
    </row>
    <row r="53" spans="1:4" x14ac:dyDescent="0.15">
      <c r="A53" s="10">
        <v>45870</v>
      </c>
      <c r="B53" s="11">
        <f>'NVDA Stock Price History '!H57</f>
        <v>5.1697397897641111E-4</v>
      </c>
      <c r="C53" s="11">
        <f>'JPM Stock Price History'!H57</f>
        <v>3.7947658402203994E-2</v>
      </c>
      <c r="D53" s="11">
        <f>'JNJ Stock Price History '!H57</f>
        <v>7.064297800338408E-2</v>
      </c>
    </row>
    <row r="54" spans="1:4" x14ac:dyDescent="0.15">
      <c r="A54" s="10">
        <v>45901</v>
      </c>
      <c r="B54" s="11">
        <f>'NVDA Stock Price History '!H58</f>
        <v>9.7529411764705962E-2</v>
      </c>
      <c r="C54" s="11">
        <f>'JPM Stock Price History'!H58</f>
        <v>5.0522880170518938E-2</v>
      </c>
      <c r="D54" s="11">
        <f>'JNJ Stock Price History '!H58</f>
        <v>4.4796303600608489E-2</v>
      </c>
    </row>
    <row r="55" spans="1:4" x14ac:dyDescent="0.15">
      <c r="A55" s="10">
        <v>45931</v>
      </c>
      <c r="B55" s="11">
        <f>'NVDA Stock Price History '!H59</f>
        <v>9.3122435759015326E-2</v>
      </c>
      <c r="C55" s="11">
        <f>'JPM Stock Price History'!H59</f>
        <v>-9.0773003790171752E-3</v>
      </c>
      <c r="D55" s="11">
        <f>'JNJ Stock Price History '!H59</f>
        <v>1.5430107526881745E-2</v>
      </c>
    </row>
    <row r="56" spans="1:4" x14ac:dyDescent="0.15">
      <c r="A56" s="10">
        <v>45962</v>
      </c>
      <c r="B56" s="11">
        <f>'NVDA Stock Price History '!H60</f>
        <v>-0.14936562860438299</v>
      </c>
      <c r="C56" s="11">
        <f>'JPM Stock Price History'!H60</f>
        <v>6.6881028938906243E-3</v>
      </c>
      <c r="D56" s="11">
        <f>'JNJ Stock Price History '!H60</f>
        <v>9.4814814814814755E-2</v>
      </c>
    </row>
    <row r="57" spans="1:4" x14ac:dyDescent="0.15">
      <c r="A57" s="10">
        <v>45992</v>
      </c>
      <c r="B57" s="11">
        <f>'NVDA Stock Price History '!H61</f>
        <v>6.717784390020605E-2</v>
      </c>
      <c r="C57" s="11">
        <f>'JPM Stock Price History'!H61</f>
        <v>2.9621345262821661E-2</v>
      </c>
      <c r="D57" s="11">
        <f>'JNJ Stock Price History '!H61</f>
        <v>2.1791767554478867E-3</v>
      </c>
    </row>
    <row r="58" spans="1:4" x14ac:dyDescent="0.15">
      <c r="A58" s="10">
        <v>46023</v>
      </c>
      <c r="B58" s="11">
        <f>'NVDA Stock Price History '!H62</f>
        <v>6.7951959544879474E-3</v>
      </c>
      <c r="C58" s="11">
        <f>'JPM Stock Price History'!H62</f>
        <v>-5.1503875968992294E-2</v>
      </c>
      <c r="D58" s="11">
        <f>'JNJ Stock Price History '!H62</f>
        <v>9.8781549173194122E-2</v>
      </c>
    </row>
    <row r="59" spans="1:4" x14ac:dyDescent="0.15">
      <c r="A59" s="10">
        <v>46054</v>
      </c>
      <c r="B59" s="11">
        <f>'NVDA Stock Price History '!H63</f>
        <v>-5.3472222222222178E-2</v>
      </c>
      <c r="C59" s="11">
        <f>'JPM Stock Price History'!H63</f>
        <v>-1.3663535439794943E-2</v>
      </c>
      <c r="D59" s="11">
        <f>'JNJ Stock Price History '!H63</f>
        <v>8.8078135949544556E-2</v>
      </c>
    </row>
    <row r="60" spans="1:4" x14ac:dyDescent="0.15">
      <c r="A60" s="10">
        <v>46082</v>
      </c>
      <c r="B60" s="11">
        <f>'NVDA Stock Price History '!H64</f>
        <v>-3.485515113422006E-3</v>
      </c>
      <c r="C60" s="11">
        <f>'JPM Stock Price History'!H64</f>
        <v>-2.2048098775481742E-3</v>
      </c>
      <c r="D60" s="11">
        <f>'JNJ Stock Price History '!H64</f>
        <v>-1.9061760102732854E-2</v>
      </c>
    </row>
    <row r="61" spans="1:4" x14ac:dyDescent="0.15">
      <c r="A61" s="10">
        <v>46113</v>
      </c>
      <c r="B61" s="11">
        <f>'NVDA Stock Price History '!H65</f>
        <v>0.2155681818181818</v>
      </c>
      <c r="C61" s="11">
        <f>'JPM Stock Price History'!H65</f>
        <v>5.4775043163275694E-2</v>
      </c>
      <c r="D61" s="11">
        <f>'JNJ Stock Price History '!H65</f>
        <v>-7.4144951140065182E-2</v>
      </c>
    </row>
    <row r="62" spans="1:4" x14ac:dyDescent="0.15">
      <c r="A62" s="27" t="s">
        <v>229</v>
      </c>
      <c r="B62" s="28">
        <f>AVERAGE(B2:B61)</f>
        <v>5.413766192269874E-2</v>
      </c>
      <c r="C62" s="28">
        <f>AVERAGE(C2:C61)</f>
        <v>1.4254885853978154E-2</v>
      </c>
      <c r="D62" s="28">
        <f>AVERAGE(D2:D61)</f>
        <v>6.5912364463559447E-3</v>
      </c>
    </row>
    <row r="63" spans="1:4" x14ac:dyDescent="0.15">
      <c r="A63" s="27" t="s">
        <v>201</v>
      </c>
      <c r="B63" s="28">
        <f>_xlfn.STDEV.S(B2:B61)</f>
        <v>0.14628819831049053</v>
      </c>
      <c r="C63" s="28">
        <f>_xlfn.STDEV.S(C2:C61)</f>
        <v>6.6958887307288065E-2</v>
      </c>
      <c r="D63" s="28">
        <f>_xlfn.STDEV.S(D2:D61)</f>
        <v>4.8880336772488278E-2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198C7-89BD-DC43-8A8F-87BC932D44A7}">
  <sheetPr codeName="Sheet6"/>
  <dimension ref="A1:J63"/>
  <sheetViews>
    <sheetView workbookViewId="0">
      <selection activeCell="G23" sqref="G23"/>
    </sheetView>
  </sheetViews>
  <sheetFormatPr baseColWidth="10" defaultColWidth="11.5" defaultRowHeight="14" x14ac:dyDescent="0.15"/>
  <cols>
    <col min="1" max="1" width="15.6640625" style="2" bestFit="1" customWidth="1"/>
    <col min="2" max="7" width="11.5" style="2"/>
    <col min="8" max="8" width="12.1640625" style="2" bestFit="1" customWidth="1"/>
    <col min="9" max="9" width="11.6640625" style="2" bestFit="1" customWidth="1"/>
    <col min="10" max="10" width="12.1640625" style="2" bestFit="1" customWidth="1"/>
    <col min="11" max="16384" width="11.5" style="2"/>
  </cols>
  <sheetData>
    <row r="1" spans="1:10" x14ac:dyDescent="0.15">
      <c r="A1" s="3" t="s">
        <v>196</v>
      </c>
      <c r="B1" s="3" t="s">
        <v>197</v>
      </c>
      <c r="C1" s="3" t="s">
        <v>198</v>
      </c>
      <c r="D1" s="3" t="s">
        <v>199</v>
      </c>
    </row>
    <row r="2" spans="1:10" x14ac:dyDescent="0.15">
      <c r="A2" s="10">
        <v>44317</v>
      </c>
      <c r="B2" s="11">
        <f>'NVDA Stock Price History '!H6</f>
        <v>7.3364177131526612E-2</v>
      </c>
      <c r="C2" s="11">
        <f>'JPM Stock Price History'!H6</f>
        <v>6.0639328382305555E-2</v>
      </c>
      <c r="D2" s="11">
        <f>'JNJ Stock Price History '!H6</f>
        <v>3.4535452322738421E-2</v>
      </c>
      <c r="G2" s="27"/>
      <c r="H2" s="6" t="s">
        <v>197</v>
      </c>
      <c r="I2" s="6" t="s">
        <v>198</v>
      </c>
      <c r="J2" s="6" t="s">
        <v>199</v>
      </c>
    </row>
    <row r="3" spans="1:10" x14ac:dyDescent="0.15">
      <c r="A3" s="10">
        <v>44348</v>
      </c>
      <c r="B3" s="11">
        <f>'NVDA Stock Price History '!H7</f>
        <v>0.22925629993853722</v>
      </c>
      <c r="C3" s="11">
        <f>'JPM Stock Price History'!H7</f>
        <v>-6.2277687345511618E-2</v>
      </c>
      <c r="D3" s="11">
        <f>'JNJ Stock Price History '!H7</f>
        <v>-3.1795474581251815E-2</v>
      </c>
      <c r="G3" s="6" t="s">
        <v>197</v>
      </c>
      <c r="H3" s="29">
        <f t="array" ref="H3:J5">MMULT(TRANSPOSE(B2:D61-B62:D62),(B2:D61-B62:D62)/(60-1))</f>
        <v>2.1400236964929421E-2</v>
      </c>
      <c r="I3" s="29">
        <v>3.656602371402775E-3</v>
      </c>
      <c r="J3" s="29">
        <v>-1.0866274174415934E-3</v>
      </c>
    </row>
    <row r="4" spans="1:10" x14ac:dyDescent="0.15">
      <c r="A4" s="10">
        <v>44378</v>
      </c>
      <c r="B4" s="11">
        <f>'NVDA Stock Price History '!H8</f>
        <v>-3.1296572280178792E-2</v>
      </c>
      <c r="C4" s="11">
        <f>'JPM Stock Price History'!H8</f>
        <v>-2.8670165109432932E-2</v>
      </c>
      <c r="D4" s="11">
        <f>'JNJ Stock Price History '!H8</f>
        <v>4.5283476994051108E-2</v>
      </c>
      <c r="G4" s="6" t="s">
        <v>198</v>
      </c>
      <c r="H4" s="29">
        <v>3.6566023714027745E-3</v>
      </c>
      <c r="I4" s="29">
        <v>4.4834925894301015E-3</v>
      </c>
      <c r="J4" s="29">
        <v>5.4396489181109597E-4</v>
      </c>
    </row>
    <row r="5" spans="1:10" x14ac:dyDescent="0.15">
      <c r="A5" s="10">
        <v>44409</v>
      </c>
      <c r="B5" s="11">
        <f>'NVDA Stock Price History '!H9</f>
        <v>0.13654822335025388</v>
      </c>
      <c r="C5" s="11">
        <f>'JPM Stock Price History'!H9</f>
        <v>5.2094981253699844E-2</v>
      </c>
      <c r="D5" s="11">
        <f>'JNJ Stock Price History '!H9</f>
        <v>3.8267524786919265E-3</v>
      </c>
      <c r="G5" s="6" t="s">
        <v>199</v>
      </c>
      <c r="H5" s="29">
        <v>-1.0866274174415934E-3</v>
      </c>
      <c r="I5" s="29">
        <v>5.4396489181109597E-4</v>
      </c>
      <c r="J5" s="29">
        <v>2.3892873229918702E-3</v>
      </c>
    </row>
    <row r="6" spans="1:10" x14ac:dyDescent="0.15">
      <c r="A6" s="10">
        <v>44440</v>
      </c>
      <c r="B6" s="11">
        <f>'NVDA Stock Price History '!H10</f>
        <v>-7.8701645175633606E-2</v>
      </c>
      <c r="C6" s="11">
        <f>'JPM Stock Price History'!H10</f>
        <v>2.1657720634128068E-2</v>
      </c>
      <c r="D6" s="11">
        <f>'JNJ Stock Price History '!H10</f>
        <v>-6.5934065934065963E-2</v>
      </c>
    </row>
    <row r="7" spans="1:10" x14ac:dyDescent="0.15">
      <c r="A7" s="10">
        <v>44470</v>
      </c>
      <c r="B7" s="11">
        <f>'NVDA Stock Price History '!H11</f>
        <v>0.23228915662650604</v>
      </c>
      <c r="C7" s="11">
        <f>'JPM Stock Price History'!H11</f>
        <v>3.5914634146341377E-2</v>
      </c>
      <c r="D7" s="11">
        <f>'JNJ Stock Price History '!H11</f>
        <v>8.3575806351760939E-3</v>
      </c>
    </row>
    <row r="8" spans="1:10" x14ac:dyDescent="0.15">
      <c r="A8" s="10">
        <v>44501</v>
      </c>
      <c r="B8" s="11">
        <f>'NVDA Stock Price History '!H12</f>
        <v>0.27407407407407414</v>
      </c>
      <c r="C8" s="11">
        <f>'JPM Stock Price History'!H12</f>
        <v>-7.6784468728202632E-2</v>
      </c>
      <c r="D8" s="11">
        <f>'JNJ Stock Price History '!H12</f>
        <v>-4.4312331453787629E-2</v>
      </c>
    </row>
    <row r="9" spans="1:10" x14ac:dyDescent="0.15">
      <c r="A9" s="10">
        <v>44531</v>
      </c>
      <c r="B9" s="11">
        <f>'NVDA Stock Price History '!H13</f>
        <v>-0.11468994581577359</v>
      </c>
      <c r="C9" s="11">
        <f>'JPM Stock Price History'!H13</f>
        <v>-1.645962732919258E-2</v>
      </c>
      <c r="D9" s="11">
        <f>'JNJ Stock Price History '!H13</f>
        <v>9.0451300356960723E-2</v>
      </c>
    </row>
    <row r="10" spans="1:10" x14ac:dyDescent="0.15">
      <c r="A10" s="10">
        <v>44562</v>
      </c>
      <c r="B10" s="11">
        <f>'NVDA Stock Price History '!H14</f>
        <v>-0.17873910127431261</v>
      </c>
      <c r="C10" s="11">
        <f>'JPM Stock Price History'!H14</f>
        <v>-7.0436632053046525E-2</v>
      </c>
      <c r="D10" s="11">
        <f>'JNJ Stock Price History '!H14</f>
        <v>1.2220198578226801E-2</v>
      </c>
    </row>
    <row r="11" spans="1:10" x14ac:dyDescent="0.15">
      <c r="A11" s="10">
        <v>44593</v>
      </c>
      <c r="B11" s="11">
        <f>'NVDA Stock Price History '!H15</f>
        <v>-2.8286852589641465E-2</v>
      </c>
      <c r="C11" s="11">
        <f>'JPM Stock Price History'!H15</f>
        <v>-4.633801869661703E-2</v>
      </c>
      <c r="D11" s="11">
        <f>'JNJ Stock Price History '!H15</f>
        <v>-4.1749155700477554E-2</v>
      </c>
    </row>
    <row r="12" spans="1:10" x14ac:dyDescent="0.15">
      <c r="A12" s="10">
        <v>44621</v>
      </c>
      <c r="B12" s="11">
        <f>'NVDA Stock Price History '!H16</f>
        <v>0.12350761630300536</v>
      </c>
      <c r="C12" s="11">
        <f>'JPM Stock Price History'!H16</f>
        <v>-2.6563838903170517E-2</v>
      </c>
      <c r="D12" s="11">
        <f>'JNJ Stock Price History '!H16</f>
        <v>8.7033856722276731E-2</v>
      </c>
    </row>
    <row r="13" spans="1:10" x14ac:dyDescent="0.15">
      <c r="A13" s="10">
        <v>44652</v>
      </c>
      <c r="B13" s="11">
        <f>'NVDA Stock Price History '!H17</f>
        <v>-0.32249817384952517</v>
      </c>
      <c r="C13" s="11">
        <f>'JPM Stock Price History'!H17</f>
        <v>-0.1312954876273654</v>
      </c>
      <c r="D13" s="11">
        <f>'JNJ Stock Price History '!H17</f>
        <v>1.926009601807397E-2</v>
      </c>
    </row>
    <row r="14" spans="1:10" x14ac:dyDescent="0.15">
      <c r="A14" s="10">
        <v>44682</v>
      </c>
      <c r="B14" s="11">
        <f>'NVDA Stock Price History '!H18</f>
        <v>7.0118662351673442E-3</v>
      </c>
      <c r="C14" s="11">
        <f>'JPM Stock Price History'!H18</f>
        <v>0.10301968635301964</v>
      </c>
      <c r="D14" s="11">
        <f>'JNJ Stock Price History '!H18</f>
        <v>-5.2086219316229716E-3</v>
      </c>
    </row>
    <row r="15" spans="1:10" x14ac:dyDescent="0.15">
      <c r="A15" s="10">
        <v>44713</v>
      </c>
      <c r="B15" s="11">
        <f>'NVDA Stock Price History '!H19</f>
        <v>-0.19017094017094011</v>
      </c>
      <c r="C15" s="11">
        <f>'JPM Stock Price History'!H19</f>
        <v>-0.1524798675397005</v>
      </c>
      <c r="D15" s="11">
        <f>'JNJ Stock Price History '!H19</f>
        <v>-9.1543399385990223E-3</v>
      </c>
    </row>
    <row r="16" spans="1:10" x14ac:dyDescent="0.15">
      <c r="A16" s="10">
        <v>44743</v>
      </c>
      <c r="B16" s="11">
        <f>'NVDA Stock Price History '!H20</f>
        <v>0.21879194630872481</v>
      </c>
      <c r="C16" s="11">
        <f>'JPM Stock Price History'!H20</f>
        <v>2.4056813138038115E-2</v>
      </c>
      <c r="D16" s="11">
        <f>'JNJ Stock Price History '!H20</f>
        <v>-1.6511693434770238E-2</v>
      </c>
    </row>
    <row r="17" spans="1:4" x14ac:dyDescent="0.15">
      <c r="A17" s="10">
        <v>44774</v>
      </c>
      <c r="B17" s="11">
        <f>'NVDA Stock Price History '!H21</f>
        <v>-0.16996699669966997</v>
      </c>
      <c r="C17" s="11">
        <f>'JPM Stock Price History'!H21</f>
        <v>-6.724890829694288E-3</v>
      </c>
      <c r="D17" s="11">
        <f>'JNJ Stock Price History '!H21</f>
        <v>-7.3663661939484329E-2</v>
      </c>
    </row>
    <row r="18" spans="1:4" x14ac:dyDescent="0.15">
      <c r="A18" s="10">
        <v>44805</v>
      </c>
      <c r="B18" s="11">
        <f>'NVDA Stock Price History '!H22</f>
        <v>-0.14567206192821958</v>
      </c>
      <c r="C18" s="11">
        <f>'JPM Stock Price History'!H22</f>
        <v>-7.7588489716656425E-2</v>
      </c>
      <c r="D18" s="11">
        <f>'JNJ Stock Price History '!H22</f>
        <v>1.1579664375503155E-2</v>
      </c>
    </row>
    <row r="19" spans="1:4" x14ac:dyDescent="0.15">
      <c r="A19" s="10">
        <v>44835</v>
      </c>
      <c r="B19" s="11">
        <f>'NVDA Stock Price History '!H23</f>
        <v>9.3117408906882623E-2</v>
      </c>
      <c r="C19" s="11">
        <f>'JPM Stock Price History'!H23</f>
        <v>0.1918197311115318</v>
      </c>
      <c r="D19" s="11">
        <f>'JNJ Stock Price History '!H23</f>
        <v>5.8920202081684872E-2</v>
      </c>
    </row>
    <row r="20" spans="1:4" x14ac:dyDescent="0.15">
      <c r="A20" s="10">
        <v>44866</v>
      </c>
      <c r="B20" s="11">
        <f>'NVDA Stock Price History '!H24</f>
        <v>0.22519913106444614</v>
      </c>
      <c r="C20" s="11">
        <f>'JPM Stock Price History'!H24</f>
        <v>8.914637030030742E-2</v>
      </c>
      <c r="D20" s="11">
        <f>'JNJ Stock Price History '!H24</f>
        <v>2.2635872687578981E-2</v>
      </c>
    </row>
    <row r="21" spans="1:4" x14ac:dyDescent="0.15">
      <c r="A21" s="10">
        <v>44896</v>
      </c>
      <c r="B21" s="11">
        <f>'NVDA Stock Price History '!H25</f>
        <v>-0.14058823529411768</v>
      </c>
      <c r="C21" s="11">
        <f>'JPM Stock Price History'!H25</f>
        <v>-2.9526704298740863E-2</v>
      </c>
      <c r="D21" s="11">
        <f>'JNJ Stock Price History '!H25</f>
        <v>-1.3128491620111701E-2</v>
      </c>
    </row>
    <row r="22" spans="1:4" x14ac:dyDescent="0.15">
      <c r="A22" s="10">
        <v>44927</v>
      </c>
      <c r="B22" s="11">
        <f>'NVDA Stock Price History '!H26</f>
        <v>0.31582491582491579</v>
      </c>
      <c r="C22" s="11">
        <f>'JPM Stock Price History'!H26</f>
        <v>3.4900916888494518E-2</v>
      </c>
      <c r="D22" s="11">
        <f>'JNJ Stock Price History '!H26</f>
        <v>-7.2320617620345196E-2</v>
      </c>
    </row>
    <row r="23" spans="1:4" x14ac:dyDescent="0.15">
      <c r="A23" s="10">
        <v>44958</v>
      </c>
      <c r="B23" s="11">
        <f>'NVDA Stock Price History '!H27</f>
        <v>0.17927882173692217</v>
      </c>
      <c r="C23" s="11">
        <f>'JPM Stock Price History'!H27</f>
        <v>3.7189783662542407E-2</v>
      </c>
      <c r="D23" s="11">
        <f>'JNJ Stock Price History '!H27</f>
        <v>-5.9696913921099562E-2</v>
      </c>
    </row>
    <row r="24" spans="1:4" x14ac:dyDescent="0.15">
      <c r="A24" s="10">
        <v>44986</v>
      </c>
      <c r="B24" s="11">
        <f>'NVDA Stock Price History '!H28</f>
        <v>0.19793014230271666</v>
      </c>
      <c r="C24" s="11">
        <f>'JPM Stock Price History'!H28</f>
        <v>-8.2969739619985869E-2</v>
      </c>
      <c r="D24" s="11">
        <f>'JNJ Stock Price History '!H28</f>
        <v>1.3005685902882225E-2</v>
      </c>
    </row>
    <row r="25" spans="1:4" x14ac:dyDescent="0.15">
      <c r="A25" s="10">
        <v>45017</v>
      </c>
      <c r="B25" s="11">
        <f>'NVDA Stock Price History '!H29</f>
        <v>8.7241003271537054E-3</v>
      </c>
      <c r="C25" s="11">
        <f>'JPM Stock Price History'!H29</f>
        <v>6.4121314756369896E-2</v>
      </c>
      <c r="D25" s="11">
        <f>'JNJ Stock Price History '!H29</f>
        <v>5.6469828977089388E-2</v>
      </c>
    </row>
    <row r="26" spans="1:4" x14ac:dyDescent="0.15">
      <c r="A26" s="10">
        <v>45047</v>
      </c>
      <c r="B26" s="11">
        <f>'NVDA Stock Price History '!H30</f>
        <v>0.35883620689655166</v>
      </c>
      <c r="C26" s="11">
        <f>'JPM Stock Price History'!H30</f>
        <v>-4.6042457472233823E-2</v>
      </c>
      <c r="D26" s="11">
        <f>'JNJ Stock Price History '!H30</f>
        <v>-5.2200488997554965E-2</v>
      </c>
    </row>
    <row r="27" spans="1:4" x14ac:dyDescent="0.15">
      <c r="A27" s="10">
        <v>45078</v>
      </c>
      <c r="B27" s="11">
        <f>'NVDA Stock Price History '!H31</f>
        <v>9.8986749805144061E-2</v>
      </c>
      <c r="C27" s="11">
        <f>'JPM Stock Price History'!H31</f>
        <v>6.5338411954292311E-2</v>
      </c>
      <c r="D27" s="11">
        <f>'JNJ Stock Price History '!H31</f>
        <v>7.1049566455286775E-2</v>
      </c>
    </row>
    <row r="28" spans="1:4" x14ac:dyDescent="0.15">
      <c r="A28" s="10">
        <v>45108</v>
      </c>
      <c r="B28" s="11">
        <f>'NVDA Stock Price History '!H32</f>
        <v>9.9012229539040292E-2</v>
      </c>
      <c r="C28" s="11">
        <f>'JPM Stock Price History'!H32</f>
        <v>8.0511662904439493E-2</v>
      </c>
      <c r="D28" s="11">
        <f>'JNJ Stock Price History '!H32</f>
        <v>1.9410977242302528E-2</v>
      </c>
    </row>
    <row r="29" spans="1:4" x14ac:dyDescent="0.15">
      <c r="A29" s="10">
        <v>45139</v>
      </c>
      <c r="B29" s="11">
        <f>'NVDA Stock Price History '!H33</f>
        <v>6.2204046491605693E-2</v>
      </c>
      <c r="C29" s="11">
        <f>'JPM Stock Price History'!H33</f>
        <v>-7.0507527154925961E-2</v>
      </c>
      <c r="D29" s="11">
        <f>'JNJ Stock Price History '!H33</f>
        <v>-2.8190178517761601E-2</v>
      </c>
    </row>
    <row r="30" spans="1:4" x14ac:dyDescent="0.15">
      <c r="A30" s="10">
        <v>45170</v>
      </c>
      <c r="B30" s="11">
        <f>'NVDA Stock Price History '!H34</f>
        <v>-0.12580385852090029</v>
      </c>
      <c r="C30" s="11">
        <f>'JPM Stock Price History'!H34</f>
        <v>-7.3242521733177706E-3</v>
      </c>
      <c r="D30" s="11">
        <f>'JNJ Stock Price History '!H34</f>
        <v>-3.5125758889852483E-2</v>
      </c>
    </row>
    <row r="31" spans="1:4" x14ac:dyDescent="0.15">
      <c r="A31" s="10">
        <v>45200</v>
      </c>
      <c r="B31" s="11">
        <f>'NVDA Stock Price History '!H35</f>
        <v>-7.3813309107426756E-2</v>
      </c>
      <c r="C31" s="11">
        <f>'JPM Stock Price History'!H35</f>
        <v>-3.9839812193606362E-2</v>
      </c>
      <c r="D31" s="11">
        <f>'JNJ Stock Price History '!H35</f>
        <v>-4.5553982756401906E-2</v>
      </c>
    </row>
    <row r="32" spans="1:4" x14ac:dyDescent="0.15">
      <c r="A32" s="10">
        <v>45231</v>
      </c>
      <c r="B32" s="11">
        <f>'NVDA Stock Price History '!H36</f>
        <v>0.1440802348336595</v>
      </c>
      <c r="C32" s="11">
        <f>'JPM Stock Price History'!H36</f>
        <v>0.12086175942549381</v>
      </c>
      <c r="D32" s="11">
        <f>'JNJ Stock Price History '!H36</f>
        <v>3.6664655808030022E-2</v>
      </c>
    </row>
    <row r="33" spans="1:4" x14ac:dyDescent="0.15">
      <c r="A33" s="10">
        <v>45261</v>
      </c>
      <c r="B33" s="11">
        <f>'NVDA Stock Price History '!H37</f>
        <v>6.4259617451106851E-2</v>
      </c>
      <c r="C33" s="11">
        <f>'JPM Stock Price History'!H37</f>
        <v>9.1644204851752037E-2</v>
      </c>
      <c r="D33" s="11">
        <f>'JNJ Stock Price History '!H37</f>
        <v>1.9176681155715378E-3</v>
      </c>
    </row>
    <row r="34" spans="1:4" x14ac:dyDescent="0.15">
      <c r="A34" s="10">
        <v>45292</v>
      </c>
      <c r="B34" s="11">
        <f>'NVDA Stock Price History '!H38</f>
        <v>0.24959382615759543</v>
      </c>
      <c r="C34" s="11">
        <f>'JPM Stock Price History'!H38</f>
        <v>3.116683423029162E-2</v>
      </c>
      <c r="D34" s="11">
        <f>'JNJ Stock Price History '!H38</f>
        <v>1.2553367743579933E-2</v>
      </c>
    </row>
    <row r="35" spans="1:4" x14ac:dyDescent="0.15">
      <c r="A35" s="10">
        <v>45323</v>
      </c>
      <c r="B35" s="11">
        <f>'NVDA Stock Price History '!H39</f>
        <v>0.27391304347826084</v>
      </c>
      <c r="C35" s="11">
        <f>'JPM Stock Price History'!H39</f>
        <v>7.152729785763659E-2</v>
      </c>
      <c r="D35" s="11">
        <f>'JNJ Stock Price History '!H39</f>
        <v>2.0359129994941823E-2</v>
      </c>
    </row>
    <row r="36" spans="1:4" x14ac:dyDescent="0.15">
      <c r="A36" s="10">
        <v>45352</v>
      </c>
      <c r="B36" s="11">
        <f>'NVDA Stock Price History '!H40</f>
        <v>0.1295</v>
      </c>
      <c r="C36" s="11">
        <f>'JPM Stock Price History'!H40</f>
        <v>7.8621432417878431E-2</v>
      </c>
      <c r="D36" s="11">
        <f>'JNJ Stock Price History '!H40</f>
        <v>-2.2492739294321291E-2</v>
      </c>
    </row>
    <row r="37" spans="1:4" x14ac:dyDescent="0.15">
      <c r="A37" s="10">
        <v>45383</v>
      </c>
      <c r="B37" s="11">
        <f>'NVDA Stock Price History '!H41</f>
        <v>-4.3189368770764028E-2</v>
      </c>
      <c r="C37" s="11">
        <f>'JPM Stock Price History'!H41</f>
        <v>-4.1252062603130156E-2</v>
      </c>
      <c r="D37" s="11">
        <f>'JNJ Stock Price History '!H41</f>
        <v>-8.3248795333502379E-2</v>
      </c>
    </row>
    <row r="38" spans="1:4" x14ac:dyDescent="0.15">
      <c r="A38" s="10">
        <v>45413</v>
      </c>
      <c r="B38" s="11">
        <f>'NVDA Stock Price History '!H42</f>
        <v>0.2885519511048425</v>
      </c>
      <c r="C38" s="11">
        <f>'JPM Stock Price History'!H42</f>
        <v>5.3882560981952383E-2</v>
      </c>
      <c r="D38" s="11">
        <f>'JNJ Stock Price History '!H42</f>
        <v>-1.3916901976603613E-2</v>
      </c>
    </row>
    <row r="39" spans="1:4" x14ac:dyDescent="0.15">
      <c r="A39" s="10">
        <v>45444</v>
      </c>
      <c r="B39" s="11">
        <f>'NVDA Stock Price History '!H43</f>
        <v>8.7308572434430576E-2</v>
      </c>
      <c r="C39" s="11">
        <f>'JPM Stock Price History'!H43</f>
        <v>-2.471454698235943E-4</v>
      </c>
      <c r="D39" s="11">
        <f>'JNJ Stock Price History '!H43</f>
        <v>-7.4023769100170014E-3</v>
      </c>
    </row>
    <row r="40" spans="1:4" x14ac:dyDescent="0.15">
      <c r="A40" s="10">
        <v>45474</v>
      </c>
      <c r="B40" s="11">
        <f>'NVDA Stock Price History '!H44</f>
        <v>-5.2239410383089033E-2</v>
      </c>
      <c r="C40" s="11">
        <f>'JPM Stock Price History'!H44</f>
        <v>4.9102741076710747E-2</v>
      </c>
      <c r="D40" s="11">
        <f>'JNJ Stock Price History '!H44</f>
        <v>8.0646265489149049E-2</v>
      </c>
    </row>
    <row r="41" spans="1:4" x14ac:dyDescent="0.15">
      <c r="A41" s="10">
        <v>45505</v>
      </c>
      <c r="B41" s="11">
        <f>'NVDA Stock Price History '!H45</f>
        <v>1.5655577299412946E-2</v>
      </c>
      <c r="C41" s="11">
        <f>'JPM Stock Price History'!H45</f>
        <v>5.4409005628517935E-2</v>
      </c>
      <c r="D41" s="11">
        <f>'JNJ Stock Price History '!H45</f>
        <v>4.6567390206966333E-2</v>
      </c>
    </row>
    <row r="42" spans="1:4" x14ac:dyDescent="0.15">
      <c r="A42" s="10">
        <v>45536</v>
      </c>
      <c r="B42" s="11">
        <f>'NVDA Stock Price History '!H46</f>
        <v>4.6806309800879166E-2</v>
      </c>
      <c r="C42" s="11">
        <f>'JPM Stock Price History'!H46</f>
        <v>-5.1461988304093556E-2</v>
      </c>
      <c r="D42" s="11">
        <f>'JNJ Stock Price History '!H46</f>
        <v>-1.9244734931009481E-2</v>
      </c>
    </row>
    <row r="43" spans="1:4" x14ac:dyDescent="0.15">
      <c r="A43" s="10">
        <v>45566</v>
      </c>
      <c r="B43" s="11">
        <f>'NVDA Stock Price History '!H47</f>
        <v>9.0341655716162816E-2</v>
      </c>
      <c r="C43" s="11">
        <f>'JPM Stock Price History'!H47</f>
        <v>6.2326471996170328E-2</v>
      </c>
      <c r="D43" s="11">
        <f>'JNJ Stock Price History '!H47</f>
        <v>-1.582220033245086E-2</v>
      </c>
    </row>
    <row r="44" spans="1:4" x14ac:dyDescent="0.15">
      <c r="A44" s="10">
        <v>45597</v>
      </c>
      <c r="B44" s="11">
        <f>'NVDA Stock Price History '!H48</f>
        <v>2.6354862657758066E-2</v>
      </c>
      <c r="C44" s="11">
        <f>'JPM Stock Price History'!H48</f>
        <v>0.11701556629092859</v>
      </c>
      <c r="D44" s="11">
        <f>'JNJ Stock Price History '!H48</f>
        <v>-3.4686760493212239E-2</v>
      </c>
    </row>
    <row r="45" spans="1:4" x14ac:dyDescent="0.15">
      <c r="A45" s="10">
        <v>45627</v>
      </c>
      <c r="B45" s="11">
        <f>'NVDA Stock Price History '!H49</f>
        <v>-3.270186559101073E-2</v>
      </c>
      <c r="C45" s="11">
        <f>'JPM Stock Price History'!H49</f>
        <v>-3.943097575636146E-2</v>
      </c>
      <c r="D45" s="11">
        <f>'JNJ Stock Price History '!H49</f>
        <v>-6.5460420032310146E-2</v>
      </c>
    </row>
    <row r="46" spans="1:4" x14ac:dyDescent="0.15">
      <c r="A46" s="10">
        <v>45658</v>
      </c>
      <c r="B46" s="11">
        <f>'NVDA Stock Price History '!H50</f>
        <v>-0.11713235294117652</v>
      </c>
      <c r="C46" s="11">
        <f>'JPM Stock Price History'!H50</f>
        <v>0.10949692844097636</v>
      </c>
      <c r="D46" s="11">
        <f>'JNJ Stock Price History '!H50</f>
        <v>4.7648557460579881E-2</v>
      </c>
    </row>
    <row r="47" spans="1:4" x14ac:dyDescent="0.15">
      <c r="A47" s="10">
        <v>45689</v>
      </c>
      <c r="B47" s="11">
        <f>'NVDA Stock Price History '!H51</f>
        <v>8.8627450980392167E-2</v>
      </c>
      <c r="C47" s="11">
        <f>'JPM Stock Price History'!H51</f>
        <v>1.0770347171829025E-2</v>
      </c>
      <c r="D47" s="11">
        <f>'JNJ Stock Price History '!H51</f>
        <v>8.5657894736842169E-2</v>
      </c>
    </row>
    <row r="48" spans="1:4" x14ac:dyDescent="0.15">
      <c r="A48" s="10">
        <v>45717</v>
      </c>
      <c r="B48" s="11">
        <f>'NVDA Stock Price History '!H52</f>
        <v>-0.12250020241276018</v>
      </c>
      <c r="C48" s="11">
        <f>'JPM Stock Price History'!H52</f>
        <v>-7.083333333333329E-2</v>
      </c>
      <c r="D48" s="11">
        <f>'JNJ Stock Price History '!H52</f>
        <v>5.3346265761396424E-3</v>
      </c>
    </row>
    <row r="49" spans="1:4" x14ac:dyDescent="0.15">
      <c r="A49" s="10">
        <v>45748</v>
      </c>
      <c r="B49" s="11">
        <f>'NVDA Stock Price History '!H53</f>
        <v>3.7784535987466276E-3</v>
      </c>
      <c r="C49" s="11">
        <f>'JPM Stock Price History'!H53</f>
        <v>8.2433435001236493E-3</v>
      </c>
      <c r="D49" s="11">
        <f>'JNJ Stock Price History '!H53</f>
        <v>-2.7499533378958427E-2</v>
      </c>
    </row>
    <row r="50" spans="1:4" x14ac:dyDescent="0.15">
      <c r="A50" s="10">
        <v>45778</v>
      </c>
      <c r="B50" s="11">
        <f>'NVDA Stock Price History '!H54</f>
        <v>0.19499469402193134</v>
      </c>
      <c r="C50" s="11">
        <f>'JPM Stock Price History'!H54</f>
        <v>8.7135562510294834E-2</v>
      </c>
      <c r="D50" s="11">
        <f>'JNJ Stock Price History '!H54</f>
        <v>1.3548387096774708E-3</v>
      </c>
    </row>
    <row r="51" spans="1:4" x14ac:dyDescent="0.15">
      <c r="A51" s="10">
        <v>45809</v>
      </c>
      <c r="B51" s="11">
        <f>'NVDA Stock Price History '!H55</f>
        <v>0.16606391615617389</v>
      </c>
      <c r="C51" s="11">
        <f>'JPM Stock Price History'!H55</f>
        <v>0.10223557143943443</v>
      </c>
      <c r="D51" s="11">
        <f>'JNJ Stock Price History '!H55</f>
        <v>-1.1198860693940898E-2</v>
      </c>
    </row>
    <row r="52" spans="1:4" x14ac:dyDescent="0.15">
      <c r="A52" s="10">
        <v>45839</v>
      </c>
      <c r="B52" s="11">
        <f>'NVDA Stock Price History '!H56</f>
        <v>0.13807665237699157</v>
      </c>
      <c r="C52" s="11">
        <f>'JPM Stock Price History'!H56</f>
        <v>1.8391831963972715E-2</v>
      </c>
      <c r="D52" s="11">
        <f>'JNJ Stock Price History '!H56</f>
        <v>7.6732026143790905E-2</v>
      </c>
    </row>
    <row r="53" spans="1:4" x14ac:dyDescent="0.15">
      <c r="A53" s="10">
        <v>45870</v>
      </c>
      <c r="B53" s="11">
        <f>'NVDA Stock Price History '!H57</f>
        <v>5.1697397897641111E-4</v>
      </c>
      <c r="C53" s="11">
        <f>'JPM Stock Price History'!H57</f>
        <v>3.7947658402203994E-2</v>
      </c>
      <c r="D53" s="11">
        <f>'JNJ Stock Price History '!H57</f>
        <v>7.064297800338408E-2</v>
      </c>
    </row>
    <row r="54" spans="1:4" x14ac:dyDescent="0.15">
      <c r="A54" s="10">
        <v>45901</v>
      </c>
      <c r="B54" s="11">
        <f>'NVDA Stock Price History '!H58</f>
        <v>9.7529411764705962E-2</v>
      </c>
      <c r="C54" s="11">
        <f>'JPM Stock Price History'!H58</f>
        <v>5.0522880170518938E-2</v>
      </c>
      <c r="D54" s="11">
        <f>'JNJ Stock Price History '!H58</f>
        <v>4.4796303600608489E-2</v>
      </c>
    </row>
    <row r="55" spans="1:4" x14ac:dyDescent="0.15">
      <c r="A55" s="10">
        <v>45931</v>
      </c>
      <c r="B55" s="11">
        <f>'NVDA Stock Price History '!H59</f>
        <v>9.3122435759015326E-2</v>
      </c>
      <c r="C55" s="11">
        <f>'JPM Stock Price History'!H59</f>
        <v>-9.0773003790171752E-3</v>
      </c>
      <c r="D55" s="11">
        <f>'JNJ Stock Price History '!H59</f>
        <v>1.5430107526881745E-2</v>
      </c>
    </row>
    <row r="56" spans="1:4" x14ac:dyDescent="0.15">
      <c r="A56" s="10">
        <v>45962</v>
      </c>
      <c r="B56" s="11">
        <f>'NVDA Stock Price History '!H60</f>
        <v>-0.14936562860438299</v>
      </c>
      <c r="C56" s="11">
        <f>'JPM Stock Price History'!H60</f>
        <v>6.6881028938906243E-3</v>
      </c>
      <c r="D56" s="11">
        <f>'JNJ Stock Price History '!H60</f>
        <v>9.4814814814814755E-2</v>
      </c>
    </row>
    <row r="57" spans="1:4" x14ac:dyDescent="0.15">
      <c r="A57" s="10">
        <v>45992</v>
      </c>
      <c r="B57" s="11">
        <f>'NVDA Stock Price History '!H61</f>
        <v>6.717784390020605E-2</v>
      </c>
      <c r="C57" s="11">
        <f>'JPM Stock Price History'!H61</f>
        <v>2.9621345262821661E-2</v>
      </c>
      <c r="D57" s="11">
        <f>'JNJ Stock Price History '!H61</f>
        <v>2.1791767554478867E-3</v>
      </c>
    </row>
    <row r="58" spans="1:4" x14ac:dyDescent="0.15">
      <c r="A58" s="10">
        <v>46023</v>
      </c>
      <c r="B58" s="11">
        <f>'NVDA Stock Price History '!H62</f>
        <v>6.7951959544879474E-3</v>
      </c>
      <c r="C58" s="11">
        <f>'JPM Stock Price History'!H62</f>
        <v>-5.1503875968992294E-2</v>
      </c>
      <c r="D58" s="11">
        <f>'JNJ Stock Price History '!H62</f>
        <v>9.8781549173194122E-2</v>
      </c>
    </row>
    <row r="59" spans="1:4" x14ac:dyDescent="0.15">
      <c r="A59" s="10">
        <v>46054</v>
      </c>
      <c r="B59" s="11">
        <f>'NVDA Stock Price History '!H63</f>
        <v>-5.3472222222222178E-2</v>
      </c>
      <c r="C59" s="11">
        <f>'JPM Stock Price History'!H63</f>
        <v>-1.3663535439794943E-2</v>
      </c>
      <c r="D59" s="11">
        <f>'JNJ Stock Price History '!H63</f>
        <v>8.8078135949544556E-2</v>
      </c>
    </row>
    <row r="60" spans="1:4" x14ac:dyDescent="0.15">
      <c r="A60" s="10">
        <v>46082</v>
      </c>
      <c r="B60" s="11">
        <f>'NVDA Stock Price History '!H64</f>
        <v>-3.485515113422006E-3</v>
      </c>
      <c r="C60" s="11">
        <f>'JPM Stock Price History'!H64</f>
        <v>-2.2048098775481742E-3</v>
      </c>
      <c r="D60" s="11">
        <f>'JNJ Stock Price History '!H64</f>
        <v>-1.9061760102732854E-2</v>
      </c>
    </row>
    <row r="61" spans="1:4" x14ac:dyDescent="0.15">
      <c r="A61" s="10">
        <v>46113</v>
      </c>
      <c r="B61" s="11">
        <f>'NVDA Stock Price History '!H65</f>
        <v>0.2155681818181818</v>
      </c>
      <c r="C61" s="11">
        <f>'JPM Stock Price History'!H65</f>
        <v>5.4775043163275694E-2</v>
      </c>
      <c r="D61" s="11">
        <f>'JNJ Stock Price History '!H65</f>
        <v>-7.4144951140065182E-2</v>
      </c>
    </row>
    <row r="62" spans="1:4" x14ac:dyDescent="0.15">
      <c r="A62" s="2" t="s">
        <v>200</v>
      </c>
      <c r="B62" s="12">
        <f>AVERAGE(B2:B61)</f>
        <v>5.413766192269874E-2</v>
      </c>
      <c r="C62" s="12">
        <f>AVERAGE(C2:C61)</f>
        <v>1.4254885853978154E-2</v>
      </c>
      <c r="D62" s="12">
        <f>AVERAGE(D2:D61)</f>
        <v>6.5912364463559447E-3</v>
      </c>
    </row>
    <row r="63" spans="1:4" x14ac:dyDescent="0.15">
      <c r="A63" s="2" t="s">
        <v>201</v>
      </c>
      <c r="B63" s="12">
        <f>_xlfn.STDEV.S(B2:B61)</f>
        <v>0.14628819831049053</v>
      </c>
      <c r="C63" s="12">
        <f>_xlfn.STDEV.S(C2:C61)</f>
        <v>6.6958887307288065E-2</v>
      </c>
      <c r="D63" s="12">
        <f>_xlfn.STDEV.S(D2:D61)</f>
        <v>4.8880336772488278E-2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69A0B-EB47-B548-AACE-3B3FE6C53FD8}">
  <sheetPr codeName="Sheet7"/>
  <dimension ref="A1:R63"/>
  <sheetViews>
    <sheetView topLeftCell="F1" workbookViewId="0">
      <selection activeCell="H17" sqref="H17"/>
    </sheetView>
  </sheetViews>
  <sheetFormatPr baseColWidth="10" defaultColWidth="10.83203125" defaultRowHeight="14" x14ac:dyDescent="0.15"/>
  <cols>
    <col min="1" max="1" width="15.6640625" style="2" bestFit="1" customWidth="1"/>
    <col min="2" max="6" width="10.83203125" style="2"/>
    <col min="7" max="7" width="15.6640625" style="2" bestFit="1" customWidth="1"/>
    <col min="8" max="8" width="23.83203125" style="2" bestFit="1" customWidth="1"/>
    <col min="9" max="16384" width="10.83203125" style="2"/>
  </cols>
  <sheetData>
    <row r="1" spans="1:18" x14ac:dyDescent="0.15">
      <c r="A1" s="3" t="s">
        <v>196</v>
      </c>
      <c r="B1" s="3" t="s">
        <v>197</v>
      </c>
      <c r="C1" s="3" t="s">
        <v>198</v>
      </c>
      <c r="D1" s="3" t="s">
        <v>199</v>
      </c>
    </row>
    <row r="2" spans="1:18" x14ac:dyDescent="0.15">
      <c r="A2" s="10">
        <v>44317</v>
      </c>
      <c r="B2" s="11">
        <f>'NVDA Stock Price History '!H6</f>
        <v>7.3364177131526612E-2</v>
      </c>
      <c r="C2" s="11">
        <f>'JPM Stock Price History'!H6</f>
        <v>6.0639328382305555E-2</v>
      </c>
      <c r="D2" s="11">
        <f>'JNJ Stock Price History '!H6</f>
        <v>3.4535452322738421E-2</v>
      </c>
      <c r="G2" s="15"/>
      <c r="H2" s="3" t="s">
        <v>197</v>
      </c>
      <c r="I2" s="3" t="s">
        <v>198</v>
      </c>
      <c r="J2" s="3" t="s">
        <v>199</v>
      </c>
    </row>
    <row r="3" spans="1:18" x14ac:dyDescent="0.15">
      <c r="A3" s="10">
        <v>44348</v>
      </c>
      <c r="B3" s="11">
        <f>'NVDA Stock Price History '!H7</f>
        <v>0.22925629993853722</v>
      </c>
      <c r="C3" s="11">
        <f>'JPM Stock Price History'!H7</f>
        <v>-6.2277687345511618E-2</v>
      </c>
      <c r="D3" s="11">
        <f>'JNJ Stock Price History '!H7</f>
        <v>-3.1795474581251815E-2</v>
      </c>
      <c r="G3" s="13" t="s">
        <v>197</v>
      </c>
      <c r="H3" s="2" cm="1">
        <f t="array" ref="H3:J5">MMULT(TRANSPOSE(B2:D61-B62:D62),(B2:D61-B62:D62)/(60-1))</f>
        <v>2.1400236964929421E-2</v>
      </c>
      <c r="I3" s="2">
        <v>3.656602371402775E-3</v>
      </c>
      <c r="J3" s="2">
        <v>-1.0866274174415934E-3</v>
      </c>
    </row>
    <row r="4" spans="1:18" x14ac:dyDescent="0.15">
      <c r="A4" s="10">
        <v>44378</v>
      </c>
      <c r="B4" s="11">
        <f>'NVDA Stock Price History '!H8</f>
        <v>-3.1296572280178792E-2</v>
      </c>
      <c r="C4" s="11">
        <f>'JPM Stock Price History'!H8</f>
        <v>-2.8670165109432932E-2</v>
      </c>
      <c r="D4" s="11">
        <f>'JNJ Stock Price History '!H8</f>
        <v>4.5283476994051108E-2</v>
      </c>
      <c r="G4" s="13" t="s">
        <v>198</v>
      </c>
      <c r="H4" s="2">
        <v>3.6566023714027745E-3</v>
      </c>
      <c r="I4" s="2">
        <v>4.4834925894301015E-3</v>
      </c>
      <c r="J4" s="2">
        <v>5.4396489181109597E-4</v>
      </c>
    </row>
    <row r="5" spans="1:18" x14ac:dyDescent="0.15">
      <c r="A5" s="10">
        <v>44409</v>
      </c>
      <c r="B5" s="11">
        <f>'NVDA Stock Price History '!H9</f>
        <v>0.13654822335025388</v>
      </c>
      <c r="C5" s="11">
        <f>'JPM Stock Price History'!H9</f>
        <v>5.2094981253699844E-2</v>
      </c>
      <c r="D5" s="11">
        <f>'JNJ Stock Price History '!H9</f>
        <v>3.8267524786919265E-3</v>
      </c>
      <c r="G5" s="14" t="s">
        <v>199</v>
      </c>
      <c r="H5" s="15">
        <v>-1.0866274174415934E-3</v>
      </c>
      <c r="I5" s="15">
        <v>5.4396489181109597E-4</v>
      </c>
      <c r="J5" s="15">
        <v>2.3892873229918702E-3</v>
      </c>
    </row>
    <row r="6" spans="1:18" x14ac:dyDescent="0.15">
      <c r="A6" s="10">
        <v>44440</v>
      </c>
      <c r="B6" s="11">
        <f>'NVDA Stock Price History '!H10</f>
        <v>-7.8701645175633606E-2</v>
      </c>
      <c r="C6" s="11">
        <f>'JPM Stock Price History'!H10</f>
        <v>2.1657720634128068E-2</v>
      </c>
      <c r="D6" s="11">
        <f>'JNJ Stock Price History '!H10</f>
        <v>-6.5934065934065963E-2</v>
      </c>
    </row>
    <row r="7" spans="1:18" x14ac:dyDescent="0.15">
      <c r="A7" s="10">
        <v>44470</v>
      </c>
      <c r="B7" s="11">
        <f>'NVDA Stock Price History '!H11</f>
        <v>0.23228915662650604</v>
      </c>
      <c r="C7" s="11">
        <f>'JPM Stock Price History'!H11</f>
        <v>3.5914634146341377E-2</v>
      </c>
      <c r="D7" s="11">
        <f>'JNJ Stock Price History '!H11</f>
        <v>8.3575806351760939E-3</v>
      </c>
    </row>
    <row r="8" spans="1:18" x14ac:dyDescent="0.15">
      <c r="A8" s="10">
        <v>44501</v>
      </c>
      <c r="B8" s="11">
        <f>'NVDA Stock Price History '!H12</f>
        <v>0.27407407407407414</v>
      </c>
      <c r="C8" s="11">
        <f>'JPM Stock Price History'!H12</f>
        <v>-7.6784468728202632E-2</v>
      </c>
      <c r="D8" s="11">
        <f>'JNJ Stock Price History '!H12</f>
        <v>-4.4312331453787629E-2</v>
      </c>
    </row>
    <row r="9" spans="1:18" x14ac:dyDescent="0.15">
      <c r="A9" s="10">
        <v>44531</v>
      </c>
      <c r="B9" s="11">
        <f>'NVDA Stock Price History '!H13</f>
        <v>-0.11468994581577359</v>
      </c>
      <c r="C9" s="11">
        <f>'JPM Stock Price History'!H13</f>
        <v>-1.645962732919258E-2</v>
      </c>
      <c r="D9" s="11">
        <f>'JNJ Stock Price History '!H13</f>
        <v>9.0451300356960723E-2</v>
      </c>
    </row>
    <row r="10" spans="1:18" x14ac:dyDescent="0.15">
      <c r="A10" s="10">
        <v>44562</v>
      </c>
      <c r="B10" s="11">
        <f>'NVDA Stock Price History '!H14</f>
        <v>-0.17873910127431261</v>
      </c>
      <c r="C10" s="11">
        <f>'JPM Stock Price History'!H14</f>
        <v>-7.0436632053046525E-2</v>
      </c>
      <c r="D10" s="11">
        <f>'JNJ Stock Price History '!H14</f>
        <v>1.2220198578226801E-2</v>
      </c>
      <c r="G10" s="7"/>
      <c r="H10" s="7"/>
      <c r="I10" s="8">
        <v>0.9</v>
      </c>
      <c r="J10" s="8">
        <v>0.8</v>
      </c>
      <c r="K10" s="8">
        <v>0.7</v>
      </c>
      <c r="L10" s="8">
        <v>0.6</v>
      </c>
      <c r="M10" s="8">
        <v>0.5</v>
      </c>
      <c r="N10" s="8">
        <v>0.4</v>
      </c>
      <c r="O10" s="8">
        <v>0.3</v>
      </c>
      <c r="P10" s="8">
        <v>0.2</v>
      </c>
      <c r="Q10" s="8">
        <v>0.1</v>
      </c>
      <c r="R10" s="7"/>
    </row>
    <row r="11" spans="1:18" x14ac:dyDescent="0.15">
      <c r="A11" s="10">
        <v>44593</v>
      </c>
      <c r="B11" s="11">
        <f>'NVDA Stock Price History '!H15</f>
        <v>-2.8286852589641465E-2</v>
      </c>
      <c r="C11" s="11">
        <f>'JPM Stock Price History'!H15</f>
        <v>-4.633801869661703E-2</v>
      </c>
      <c r="D11" s="11">
        <f>'JNJ Stock Price History '!H15</f>
        <v>-4.1749155700477554E-2</v>
      </c>
      <c r="G11" s="9" t="s">
        <v>202</v>
      </c>
      <c r="H11" s="9" t="s">
        <v>203</v>
      </c>
      <c r="I11" s="9" t="s">
        <v>204</v>
      </c>
      <c r="J11" s="9" t="s">
        <v>205</v>
      </c>
      <c r="K11" s="9" t="s">
        <v>206</v>
      </c>
      <c r="L11" s="9" t="s">
        <v>207</v>
      </c>
      <c r="M11" s="9" t="s">
        <v>208</v>
      </c>
      <c r="N11" s="9" t="s">
        <v>209</v>
      </c>
      <c r="O11" s="9" t="s">
        <v>210</v>
      </c>
      <c r="P11" s="9" t="s">
        <v>211</v>
      </c>
      <c r="Q11" s="9" t="s">
        <v>212</v>
      </c>
      <c r="R11" s="9" t="s">
        <v>213</v>
      </c>
    </row>
    <row r="12" spans="1:18" x14ac:dyDescent="0.15">
      <c r="A12" s="10">
        <v>44621</v>
      </c>
      <c r="B12" s="11">
        <f>'NVDA Stock Price History '!H16</f>
        <v>0.12350761630300536</v>
      </c>
      <c r="C12" s="11">
        <f>'JPM Stock Price History'!H16</f>
        <v>-2.6563838903170517E-2</v>
      </c>
      <c r="D12" s="11">
        <f>'JNJ Stock Price History '!H16</f>
        <v>8.7033856722276731E-2</v>
      </c>
      <c r="G12" s="2" t="s">
        <v>197</v>
      </c>
      <c r="H12" s="11">
        <v>7.4767181886844586E-2</v>
      </c>
      <c r="I12" s="11">
        <f>I$10*$H12+(1-I$10)*$R12</f>
        <v>0.1671950445269082</v>
      </c>
      <c r="J12" s="11">
        <f t="shared" ref="J12:Q14" si="0">J$10*$H12+(1-J$10)*$R12</f>
        <v>0.25962290716697178</v>
      </c>
      <c r="K12" s="11">
        <f t="shared" si="0"/>
        <v>0.35205076980703548</v>
      </c>
      <c r="L12" s="11">
        <f t="shared" si="0"/>
        <v>0.44447863244709912</v>
      </c>
      <c r="M12" s="11">
        <f t="shared" si="0"/>
        <v>0.53690649508716271</v>
      </c>
      <c r="N12" s="11">
        <f t="shared" si="0"/>
        <v>0.62933435772722623</v>
      </c>
      <c r="O12" s="11">
        <f t="shared" si="0"/>
        <v>0.72176222036728988</v>
      </c>
      <c r="P12" s="11">
        <f t="shared" si="0"/>
        <v>0.81419008300735363</v>
      </c>
      <c r="Q12" s="11">
        <f t="shared" si="0"/>
        <v>0.90661794564741716</v>
      </c>
      <c r="R12" s="11">
        <v>0.9990458082874808</v>
      </c>
    </row>
    <row r="13" spans="1:18" x14ac:dyDescent="0.15">
      <c r="A13" s="10">
        <v>44652</v>
      </c>
      <c r="B13" s="11">
        <f>'NVDA Stock Price History '!H17</f>
        <v>-0.32249817384952517</v>
      </c>
      <c r="C13" s="11">
        <f>'JPM Stock Price History'!H17</f>
        <v>-0.1312954876273654</v>
      </c>
      <c r="D13" s="11">
        <f>'JNJ Stock Price History '!H17</f>
        <v>1.926009601807397E-2</v>
      </c>
      <c r="G13" s="2" t="s">
        <v>198</v>
      </c>
      <c r="H13" s="11">
        <v>0.23760598650034725</v>
      </c>
      <c r="I13" s="11">
        <f t="shared" ref="I13:I14" si="1">I$10*$H13+(1-I$10)*$R13</f>
        <v>0.21429748626952747</v>
      </c>
      <c r="J13" s="11">
        <f t="shared" si="0"/>
        <v>0.19098898603870768</v>
      </c>
      <c r="K13" s="11">
        <f t="shared" si="0"/>
        <v>0.16768048580788783</v>
      </c>
      <c r="L13" s="11">
        <f t="shared" si="0"/>
        <v>0.14437198557706804</v>
      </c>
      <c r="M13" s="11">
        <f t="shared" si="0"/>
        <v>0.12106348534624825</v>
      </c>
      <c r="N13" s="11">
        <f t="shared" si="0"/>
        <v>9.7754985115428461E-2</v>
      </c>
      <c r="O13" s="11">
        <f t="shared" si="0"/>
        <v>7.4446484884608644E-2</v>
      </c>
      <c r="P13" s="11">
        <f t="shared" si="0"/>
        <v>5.1137984653788854E-2</v>
      </c>
      <c r="Q13" s="11">
        <f t="shared" si="0"/>
        <v>2.782948442296905E-2</v>
      </c>
      <c r="R13" s="11">
        <v>4.5209841921492484E-3</v>
      </c>
    </row>
    <row r="14" spans="1:18" x14ac:dyDescent="0.15">
      <c r="A14" s="10">
        <v>44682</v>
      </c>
      <c r="B14" s="11">
        <f>'NVDA Stock Price History '!H18</f>
        <v>7.0118662351673442E-3</v>
      </c>
      <c r="C14" s="11">
        <f>'JPM Stock Price History'!H18</f>
        <v>0.10301968635301964</v>
      </c>
      <c r="D14" s="11">
        <f>'JNJ Stock Price History '!H18</f>
        <v>-5.2086219316229716E-3</v>
      </c>
      <c r="G14" s="2" t="s">
        <v>199</v>
      </c>
      <c r="H14" s="11">
        <v>0.68762683161280802</v>
      </c>
      <c r="I14" s="11">
        <f t="shared" si="1"/>
        <v>0.6185074703939869</v>
      </c>
      <c r="J14" s="11">
        <f t="shared" si="0"/>
        <v>0.54938810917516567</v>
      </c>
      <c r="K14" s="11">
        <f t="shared" si="0"/>
        <v>0.48026874795634455</v>
      </c>
      <c r="L14" s="11">
        <f t="shared" si="0"/>
        <v>0.41114938673752344</v>
      </c>
      <c r="M14" s="11">
        <f t="shared" si="0"/>
        <v>0.34203002551870232</v>
      </c>
      <c r="N14" s="11">
        <f t="shared" si="0"/>
        <v>0.27291066429988114</v>
      </c>
      <c r="O14" s="11">
        <f t="shared" si="0"/>
        <v>0.20379130308106003</v>
      </c>
      <c r="P14" s="11">
        <f t="shared" si="0"/>
        <v>0.13467194186223888</v>
      </c>
      <c r="Q14" s="11">
        <f t="shared" si="0"/>
        <v>6.5552580643417735E-2</v>
      </c>
      <c r="R14" s="11">
        <v>-3.5667805754034088E-3</v>
      </c>
    </row>
    <row r="15" spans="1:18" x14ac:dyDescent="0.15">
      <c r="A15" s="10">
        <v>44713</v>
      </c>
      <c r="B15" s="11">
        <f>'NVDA Stock Price History '!H19</f>
        <v>-0.19017094017094011</v>
      </c>
      <c r="C15" s="11">
        <f>'JPM Stock Price History'!H19</f>
        <v>-0.1524798675397005</v>
      </c>
      <c r="D15" s="11">
        <f>'JNJ Stock Price History '!H19</f>
        <v>-9.1543399385990223E-3</v>
      </c>
      <c r="G15" s="7" t="s">
        <v>214</v>
      </c>
      <c r="H15" s="11">
        <f>SUM(H12:H14)</f>
        <v>0.99999999999999989</v>
      </c>
      <c r="I15" s="11">
        <f>SUM(I12:I14)</f>
        <v>1.0000000011904224</v>
      </c>
      <c r="J15" s="11">
        <f t="shared" ref="J15:O15" si="2">SUM(J12:J14)</f>
        <v>1.0000000023808451</v>
      </c>
      <c r="K15" s="11">
        <f t="shared" si="2"/>
        <v>1.0000000035712677</v>
      </c>
      <c r="L15" s="11">
        <f t="shared" si="2"/>
        <v>1.0000000047616906</v>
      </c>
      <c r="M15" s="11">
        <f t="shared" si="2"/>
        <v>1.0000000059521132</v>
      </c>
      <c r="N15" s="11">
        <f t="shared" si="2"/>
        <v>1.0000000071425359</v>
      </c>
      <c r="O15" s="11">
        <f t="shared" si="2"/>
        <v>1.0000000083329585</v>
      </c>
      <c r="P15" s="11">
        <f>SUM(P12:P14)</f>
        <v>1.0000000095233814</v>
      </c>
      <c r="Q15" s="11">
        <f t="shared" ref="Q15" si="3">SUM(Q12:Q14)</f>
        <v>1.0000000107138041</v>
      </c>
      <c r="R15" s="11">
        <f>SUM(R12:R14)</f>
        <v>1.0000000119042267</v>
      </c>
    </row>
    <row r="16" spans="1:18" x14ac:dyDescent="0.15">
      <c r="A16" s="10">
        <v>44743</v>
      </c>
      <c r="B16" s="11">
        <f>'NVDA Stock Price History '!H20</f>
        <v>0.21879194630872481</v>
      </c>
      <c r="C16" s="11">
        <f>'JPM Stock Price History'!H20</f>
        <v>2.4056813138038115E-2</v>
      </c>
      <c r="D16" s="11">
        <f>'JNJ Stock Price History '!H20</f>
        <v>-1.6511693434770238E-2</v>
      </c>
      <c r="G16" s="7" t="s">
        <v>200</v>
      </c>
      <c r="H16" s="11" cm="1">
        <f t="array" ref="H16">SUM(TRANSPOSE(H12:H14)*$B$62:$D$62)</f>
        <v>1.1967077665705844E-2</v>
      </c>
      <c r="I16" s="11" cm="1">
        <f t="array" ref="I16">SUM(TRANSPOSE(I12:I14)*$B$62:$D$62)</f>
        <v>1.6183063982519154E-2</v>
      </c>
      <c r="J16" s="11" cm="1">
        <f t="array" ref="J16">SUM(TRANSPOSE(J12:J14)*$B$62:$D$62)</f>
        <v>2.0399050299332453E-2</v>
      </c>
      <c r="K16" s="11" cm="1">
        <f t="array" ref="K16">SUM(TRANSPOSE(K12:K14)*$B$62:$D$62)</f>
        <v>2.4615036616145763E-2</v>
      </c>
      <c r="L16" s="11" cm="1">
        <f t="array" ref="L16">SUM(TRANSPOSE(L12:L14)*$B$62:$D$62)</f>
        <v>2.8831022932959076E-2</v>
      </c>
      <c r="M16" s="11" cm="1">
        <f t="array" ref="M16">SUM(TRANSPOSE(M12:M14)*$B$62:$D$62)</f>
        <v>3.3047009249772379E-2</v>
      </c>
      <c r="N16" s="11" cm="1">
        <f t="array" ref="N16">SUM(TRANSPOSE(N12:N14)*$B$62:$D$62)</f>
        <v>3.7262995566585674E-2</v>
      </c>
      <c r="O16" s="11" cm="1">
        <f t="array" ref="O16">SUM(TRANSPOSE(O12:O14)*$B$62:$D$62)</f>
        <v>4.1478981883398984E-2</v>
      </c>
      <c r="P16" s="11" cm="1">
        <f t="array" ref="P16">SUM(TRANSPOSE(P12:P14)*$B$62:$D$62)</f>
        <v>4.5694968200212301E-2</v>
      </c>
      <c r="Q16" s="11" cm="1">
        <f t="array" ref="Q16">SUM(TRANSPOSE(Q12:Q14)*$B$62:$D$62)</f>
        <v>4.9910954517025603E-2</v>
      </c>
      <c r="R16" s="11" cm="1">
        <f t="array" ref="R16">SUM(TRANSPOSE(R12:R14)*$B$62:$D$62)</f>
        <v>5.4126940833838906E-2</v>
      </c>
    </row>
    <row r="17" spans="1:18" x14ac:dyDescent="0.15">
      <c r="A17" s="10">
        <v>44774</v>
      </c>
      <c r="B17" s="11">
        <f>'NVDA Stock Price History '!H21</f>
        <v>-0.16996699669966997</v>
      </c>
      <c r="C17" s="11">
        <f>'JPM Stock Price History'!H21</f>
        <v>-6.724890829694288E-3</v>
      </c>
      <c r="D17" s="11">
        <f>'JNJ Stock Price History '!H21</f>
        <v>-7.3663661939484329E-2</v>
      </c>
      <c r="G17" s="7" t="s">
        <v>215</v>
      </c>
      <c r="H17" s="11">
        <f t="array" ref="H17">SQRT(MMULT(MMULT(TRANSPOSE(H12:H14),$H$3:$J$5),H12:H14))</f>
        <v>4.1211899139459385E-2</v>
      </c>
      <c r="I17" s="11">
        <f t="array" ref="I17">SQRT(MMULT(MMULT(TRANSPOSE(I12:I14),$H$3:$J$5),I12:I14))</f>
        <v>4.3584826218343427E-2</v>
      </c>
      <c r="J17" s="11">
        <f t="array" ref="J17">SQRT(MMULT(MMULT(TRANSPOSE(J12:J14),$H$3:$J$5),J12:J14))</f>
        <v>4.9939545666067113E-2</v>
      </c>
      <c r="K17" s="11">
        <f t="array" ref="K17">SQRT(MMULT(MMULT(TRANSPOSE(K12:K14),$H$3:$J$5),K12:K14))</f>
        <v>5.9003254700321348E-2</v>
      </c>
      <c r="L17" s="11">
        <f t="array" ref="L17">SQRT(MMULT(MMULT(TRANSPOSE(L12:L14),$H$3:$J$5),L12:L14))</f>
        <v>6.9727430815831493E-2</v>
      </c>
      <c r="M17" s="11">
        <f t="array" ref="M17">SQRT(MMULT(MMULT(TRANSPOSE(M12:M14),$H$3:$J$5),M12:M14))</f>
        <v>8.1458884415206184E-2</v>
      </c>
      <c r="N17" s="11">
        <f t="array" ref="N17">SQRT(MMULT(MMULT(TRANSPOSE(N12:N14),$H$3:$J$5),N12:N14))</f>
        <v>9.3820519030812538E-2</v>
      </c>
      <c r="O17" s="11">
        <f t="array" ref="O17">SQRT(MMULT(MMULT(TRANSPOSE(O12:O14),$H$3:$J$5),O12:O14))</f>
        <v>0.10659331325791492</v>
      </c>
      <c r="P17" s="11">
        <f t="array" ref="P17">SQRT(MMULT(MMULT(TRANSPOSE(P12:P14),$H$3:$J$5),P12:P14))</f>
        <v>0.1196456592210377</v>
      </c>
      <c r="Q17" s="11">
        <f t="array" ref="Q17">SQRT(MMULT(MMULT(TRANSPOSE(Q12:Q14),$H$3:$J$5),Q12:Q14))</f>
        <v>0.13289521364075221</v>
      </c>
      <c r="R17" s="11">
        <f t="array" ref="R17">SQRT(MMULT(MMULT(TRANSPOSE(R12:R14),$H$3:$J$5),R12:R14))</f>
        <v>0.14628840195262727</v>
      </c>
    </row>
    <row r="18" spans="1:18" x14ac:dyDescent="0.15">
      <c r="A18" s="10">
        <v>44805</v>
      </c>
      <c r="B18" s="11">
        <f>'NVDA Stock Price History '!H22</f>
        <v>-0.14567206192821958</v>
      </c>
      <c r="C18" s="11">
        <f>'JPM Stock Price History'!H22</f>
        <v>-7.7588489716656425E-2</v>
      </c>
      <c r="D18" s="11">
        <f>'JNJ Stock Price History '!H22</f>
        <v>1.1579664375503155E-2</v>
      </c>
    </row>
    <row r="19" spans="1:18" x14ac:dyDescent="0.15">
      <c r="A19" s="10">
        <v>44835</v>
      </c>
      <c r="B19" s="11">
        <f>'NVDA Stock Price History '!H23</f>
        <v>9.3117408906882623E-2</v>
      </c>
      <c r="C19" s="11">
        <f>'JPM Stock Price History'!H23</f>
        <v>0.1918197311115318</v>
      </c>
      <c r="D19" s="11">
        <f>'JNJ Stock Price History '!H23</f>
        <v>5.8920202081684872E-2</v>
      </c>
    </row>
    <row r="20" spans="1:18" x14ac:dyDescent="0.15">
      <c r="A20" s="10">
        <v>44866</v>
      </c>
      <c r="B20" s="11">
        <f>'NVDA Stock Price History '!H24</f>
        <v>0.22519913106444614</v>
      </c>
      <c r="C20" s="11">
        <f>'JPM Stock Price History'!H24</f>
        <v>8.914637030030742E-2</v>
      </c>
      <c r="D20" s="11">
        <f>'JNJ Stock Price History '!H24</f>
        <v>2.2635872687578981E-2</v>
      </c>
    </row>
    <row r="21" spans="1:18" x14ac:dyDescent="0.15">
      <c r="A21" s="10">
        <v>44896</v>
      </c>
      <c r="B21" s="11">
        <f>'NVDA Stock Price History '!H25</f>
        <v>-0.14058823529411768</v>
      </c>
      <c r="C21" s="11">
        <f>'JPM Stock Price History'!H25</f>
        <v>-2.9526704298740863E-2</v>
      </c>
      <c r="D21" s="11">
        <f>'JNJ Stock Price History '!H25</f>
        <v>-1.3128491620111701E-2</v>
      </c>
    </row>
    <row r="22" spans="1:18" x14ac:dyDescent="0.15">
      <c r="A22" s="10">
        <v>44927</v>
      </c>
      <c r="B22" s="11">
        <f>'NVDA Stock Price History '!H26</f>
        <v>0.31582491582491579</v>
      </c>
      <c r="C22" s="11">
        <f>'JPM Stock Price History'!H26</f>
        <v>3.4900916888494518E-2</v>
      </c>
      <c r="D22" s="11">
        <f>'JNJ Stock Price History '!H26</f>
        <v>-7.2320617620345196E-2</v>
      </c>
    </row>
    <row r="23" spans="1:18" x14ac:dyDescent="0.15">
      <c r="A23" s="10">
        <v>44958</v>
      </c>
      <c r="B23" s="11">
        <f>'NVDA Stock Price History '!H27</f>
        <v>0.17927882173692217</v>
      </c>
      <c r="C23" s="11">
        <f>'JPM Stock Price History'!H27</f>
        <v>3.7189783662542407E-2</v>
      </c>
      <c r="D23" s="11">
        <f>'JNJ Stock Price History '!H27</f>
        <v>-5.9696913921099562E-2</v>
      </c>
    </row>
    <row r="24" spans="1:18" x14ac:dyDescent="0.15">
      <c r="A24" s="10">
        <v>44986</v>
      </c>
      <c r="B24" s="11">
        <f>'NVDA Stock Price History '!H28</f>
        <v>0.19793014230271666</v>
      </c>
      <c r="C24" s="11">
        <f>'JPM Stock Price History'!H28</f>
        <v>-8.2969739619985869E-2</v>
      </c>
      <c r="D24" s="11">
        <f>'JNJ Stock Price History '!H28</f>
        <v>1.3005685902882225E-2</v>
      </c>
    </row>
    <row r="25" spans="1:18" x14ac:dyDescent="0.15">
      <c r="A25" s="10">
        <v>45017</v>
      </c>
      <c r="B25" s="11">
        <f>'NVDA Stock Price History '!H29</f>
        <v>8.7241003271537054E-3</v>
      </c>
      <c r="C25" s="11">
        <f>'JPM Stock Price History'!H29</f>
        <v>6.4121314756369896E-2</v>
      </c>
      <c r="D25" s="11">
        <f>'JNJ Stock Price History '!H29</f>
        <v>5.6469828977089388E-2</v>
      </c>
    </row>
    <row r="26" spans="1:18" x14ac:dyDescent="0.15">
      <c r="A26" s="10">
        <v>45047</v>
      </c>
      <c r="B26" s="11">
        <f>'NVDA Stock Price History '!H30</f>
        <v>0.35883620689655166</v>
      </c>
      <c r="C26" s="11">
        <f>'JPM Stock Price History'!H30</f>
        <v>-4.6042457472233823E-2</v>
      </c>
      <c r="D26" s="11">
        <f>'JNJ Stock Price History '!H30</f>
        <v>-5.2200488997554965E-2</v>
      </c>
    </row>
    <row r="27" spans="1:18" x14ac:dyDescent="0.15">
      <c r="A27" s="10">
        <v>45078</v>
      </c>
      <c r="B27" s="11">
        <f>'NVDA Stock Price History '!H31</f>
        <v>9.8986749805144061E-2</v>
      </c>
      <c r="C27" s="11">
        <f>'JPM Stock Price History'!H31</f>
        <v>6.5338411954292311E-2</v>
      </c>
      <c r="D27" s="11">
        <f>'JNJ Stock Price History '!H31</f>
        <v>7.1049566455286775E-2</v>
      </c>
    </row>
    <row r="28" spans="1:18" x14ac:dyDescent="0.15">
      <c r="A28" s="10">
        <v>45108</v>
      </c>
      <c r="B28" s="11">
        <f>'NVDA Stock Price History '!H32</f>
        <v>9.9012229539040292E-2</v>
      </c>
      <c r="C28" s="11">
        <f>'JPM Stock Price History'!H32</f>
        <v>8.0511662904439493E-2</v>
      </c>
      <c r="D28" s="11">
        <f>'JNJ Stock Price History '!H32</f>
        <v>1.9410977242302528E-2</v>
      </c>
    </row>
    <row r="29" spans="1:18" x14ac:dyDescent="0.15">
      <c r="A29" s="10">
        <v>45139</v>
      </c>
      <c r="B29" s="11">
        <f>'NVDA Stock Price History '!H33</f>
        <v>6.2204046491605693E-2</v>
      </c>
      <c r="C29" s="11">
        <f>'JPM Stock Price History'!H33</f>
        <v>-7.0507527154925961E-2</v>
      </c>
      <c r="D29" s="11">
        <f>'JNJ Stock Price History '!H33</f>
        <v>-2.8190178517761601E-2</v>
      </c>
    </row>
    <row r="30" spans="1:18" x14ac:dyDescent="0.15">
      <c r="A30" s="10">
        <v>45170</v>
      </c>
      <c r="B30" s="11">
        <f>'NVDA Stock Price History '!H34</f>
        <v>-0.12580385852090029</v>
      </c>
      <c r="C30" s="11">
        <f>'JPM Stock Price History'!H34</f>
        <v>-7.3242521733177706E-3</v>
      </c>
      <c r="D30" s="11">
        <f>'JNJ Stock Price History '!H34</f>
        <v>-3.5125758889852483E-2</v>
      </c>
    </row>
    <row r="31" spans="1:18" x14ac:dyDescent="0.15">
      <c r="A31" s="10">
        <v>45200</v>
      </c>
      <c r="B31" s="11">
        <f>'NVDA Stock Price History '!H35</f>
        <v>-7.3813309107426756E-2</v>
      </c>
      <c r="C31" s="11">
        <f>'JPM Stock Price History'!H35</f>
        <v>-3.9839812193606362E-2</v>
      </c>
      <c r="D31" s="11">
        <f>'JNJ Stock Price History '!H35</f>
        <v>-4.5553982756401906E-2</v>
      </c>
    </row>
    <row r="32" spans="1:18" x14ac:dyDescent="0.15">
      <c r="A32" s="10">
        <v>45231</v>
      </c>
      <c r="B32" s="11">
        <f>'NVDA Stock Price History '!H36</f>
        <v>0.1440802348336595</v>
      </c>
      <c r="C32" s="11">
        <f>'JPM Stock Price History'!H36</f>
        <v>0.12086175942549381</v>
      </c>
      <c r="D32" s="11">
        <f>'JNJ Stock Price History '!H36</f>
        <v>3.6664655808030022E-2</v>
      </c>
    </row>
    <row r="33" spans="1:4" x14ac:dyDescent="0.15">
      <c r="A33" s="10">
        <v>45261</v>
      </c>
      <c r="B33" s="11">
        <f>'NVDA Stock Price History '!H37</f>
        <v>6.4259617451106851E-2</v>
      </c>
      <c r="C33" s="11">
        <f>'JPM Stock Price History'!H37</f>
        <v>9.1644204851752037E-2</v>
      </c>
      <c r="D33" s="11">
        <f>'JNJ Stock Price History '!H37</f>
        <v>1.9176681155715378E-3</v>
      </c>
    </row>
    <row r="34" spans="1:4" x14ac:dyDescent="0.15">
      <c r="A34" s="10">
        <v>45292</v>
      </c>
      <c r="B34" s="11">
        <f>'NVDA Stock Price History '!H38</f>
        <v>0.24959382615759543</v>
      </c>
      <c r="C34" s="11">
        <f>'JPM Stock Price History'!H38</f>
        <v>3.116683423029162E-2</v>
      </c>
      <c r="D34" s="11">
        <f>'JNJ Stock Price History '!H38</f>
        <v>1.2553367743579933E-2</v>
      </c>
    </row>
    <row r="35" spans="1:4" x14ac:dyDescent="0.15">
      <c r="A35" s="10">
        <v>45323</v>
      </c>
      <c r="B35" s="11">
        <f>'NVDA Stock Price History '!H39</f>
        <v>0.27391304347826084</v>
      </c>
      <c r="C35" s="11">
        <f>'JPM Stock Price History'!H39</f>
        <v>7.152729785763659E-2</v>
      </c>
      <c r="D35" s="11">
        <f>'JNJ Stock Price History '!H39</f>
        <v>2.0359129994941823E-2</v>
      </c>
    </row>
    <row r="36" spans="1:4" x14ac:dyDescent="0.15">
      <c r="A36" s="10">
        <v>45352</v>
      </c>
      <c r="B36" s="11">
        <f>'NVDA Stock Price History '!H40</f>
        <v>0.1295</v>
      </c>
      <c r="C36" s="11">
        <f>'JPM Stock Price History'!H40</f>
        <v>7.8621432417878431E-2</v>
      </c>
      <c r="D36" s="11">
        <f>'JNJ Stock Price History '!H40</f>
        <v>-2.2492739294321291E-2</v>
      </c>
    </row>
    <row r="37" spans="1:4" x14ac:dyDescent="0.15">
      <c r="A37" s="10">
        <v>45383</v>
      </c>
      <c r="B37" s="11">
        <f>'NVDA Stock Price History '!H41</f>
        <v>-4.3189368770764028E-2</v>
      </c>
      <c r="C37" s="11">
        <f>'JPM Stock Price History'!H41</f>
        <v>-4.1252062603130156E-2</v>
      </c>
      <c r="D37" s="11">
        <f>'JNJ Stock Price History '!H41</f>
        <v>-8.3248795333502379E-2</v>
      </c>
    </row>
    <row r="38" spans="1:4" x14ac:dyDescent="0.15">
      <c r="A38" s="10">
        <v>45413</v>
      </c>
      <c r="B38" s="11">
        <f>'NVDA Stock Price History '!H42</f>
        <v>0.2885519511048425</v>
      </c>
      <c r="C38" s="11">
        <f>'JPM Stock Price History'!H42</f>
        <v>5.3882560981952383E-2</v>
      </c>
      <c r="D38" s="11">
        <f>'JNJ Stock Price History '!H42</f>
        <v>-1.3916901976603613E-2</v>
      </c>
    </row>
    <row r="39" spans="1:4" x14ac:dyDescent="0.15">
      <c r="A39" s="10">
        <v>45444</v>
      </c>
      <c r="B39" s="11">
        <f>'NVDA Stock Price History '!H43</f>
        <v>8.7308572434430576E-2</v>
      </c>
      <c r="C39" s="11">
        <f>'JPM Stock Price History'!H43</f>
        <v>-2.471454698235943E-4</v>
      </c>
      <c r="D39" s="11">
        <f>'JNJ Stock Price History '!H43</f>
        <v>-7.4023769100170014E-3</v>
      </c>
    </row>
    <row r="40" spans="1:4" x14ac:dyDescent="0.15">
      <c r="A40" s="10">
        <v>45474</v>
      </c>
      <c r="B40" s="11">
        <f>'NVDA Stock Price History '!H44</f>
        <v>-5.2239410383089033E-2</v>
      </c>
      <c r="C40" s="11">
        <f>'JPM Stock Price History'!H44</f>
        <v>4.9102741076710747E-2</v>
      </c>
      <c r="D40" s="11">
        <f>'JNJ Stock Price History '!H44</f>
        <v>8.0646265489149049E-2</v>
      </c>
    </row>
    <row r="41" spans="1:4" x14ac:dyDescent="0.15">
      <c r="A41" s="10">
        <v>45505</v>
      </c>
      <c r="B41" s="11">
        <f>'NVDA Stock Price History '!H45</f>
        <v>1.5655577299412946E-2</v>
      </c>
      <c r="C41" s="11">
        <f>'JPM Stock Price History'!H45</f>
        <v>5.4409005628517935E-2</v>
      </c>
      <c r="D41" s="11">
        <f>'JNJ Stock Price History '!H45</f>
        <v>4.6567390206966333E-2</v>
      </c>
    </row>
    <row r="42" spans="1:4" x14ac:dyDescent="0.15">
      <c r="A42" s="10">
        <v>45536</v>
      </c>
      <c r="B42" s="11">
        <f>'NVDA Stock Price History '!H46</f>
        <v>4.6806309800879166E-2</v>
      </c>
      <c r="C42" s="11">
        <f>'JPM Stock Price History'!H46</f>
        <v>-5.1461988304093556E-2</v>
      </c>
      <c r="D42" s="11">
        <f>'JNJ Stock Price History '!H46</f>
        <v>-1.9244734931009481E-2</v>
      </c>
    </row>
    <row r="43" spans="1:4" x14ac:dyDescent="0.15">
      <c r="A43" s="10">
        <v>45566</v>
      </c>
      <c r="B43" s="11">
        <f>'NVDA Stock Price History '!H47</f>
        <v>9.0341655716162816E-2</v>
      </c>
      <c r="C43" s="11">
        <f>'JPM Stock Price History'!H47</f>
        <v>6.2326471996170328E-2</v>
      </c>
      <c r="D43" s="11">
        <f>'JNJ Stock Price History '!H47</f>
        <v>-1.582220033245086E-2</v>
      </c>
    </row>
    <row r="44" spans="1:4" x14ac:dyDescent="0.15">
      <c r="A44" s="10">
        <v>45597</v>
      </c>
      <c r="B44" s="11">
        <f>'NVDA Stock Price History '!H48</f>
        <v>2.6354862657758066E-2</v>
      </c>
      <c r="C44" s="11">
        <f>'JPM Stock Price History'!H48</f>
        <v>0.11701556629092859</v>
      </c>
      <c r="D44" s="11">
        <f>'JNJ Stock Price History '!H48</f>
        <v>-3.4686760493212239E-2</v>
      </c>
    </row>
    <row r="45" spans="1:4" x14ac:dyDescent="0.15">
      <c r="A45" s="10">
        <v>45627</v>
      </c>
      <c r="B45" s="11">
        <f>'NVDA Stock Price History '!H49</f>
        <v>-3.270186559101073E-2</v>
      </c>
      <c r="C45" s="11">
        <f>'JPM Stock Price History'!H49</f>
        <v>-3.943097575636146E-2</v>
      </c>
      <c r="D45" s="11">
        <f>'JNJ Stock Price History '!H49</f>
        <v>-6.5460420032310146E-2</v>
      </c>
    </row>
    <row r="46" spans="1:4" x14ac:dyDescent="0.15">
      <c r="A46" s="10">
        <v>45658</v>
      </c>
      <c r="B46" s="11">
        <f>'NVDA Stock Price History '!H50</f>
        <v>-0.11713235294117652</v>
      </c>
      <c r="C46" s="11">
        <f>'JPM Stock Price History'!H50</f>
        <v>0.10949692844097636</v>
      </c>
      <c r="D46" s="11">
        <f>'JNJ Stock Price History '!H50</f>
        <v>4.7648557460579881E-2</v>
      </c>
    </row>
    <row r="47" spans="1:4" x14ac:dyDescent="0.15">
      <c r="A47" s="10">
        <v>45689</v>
      </c>
      <c r="B47" s="11">
        <f>'NVDA Stock Price History '!H51</f>
        <v>8.8627450980392167E-2</v>
      </c>
      <c r="C47" s="11">
        <f>'JPM Stock Price History'!H51</f>
        <v>1.0770347171829025E-2</v>
      </c>
      <c r="D47" s="11">
        <f>'JNJ Stock Price History '!H51</f>
        <v>8.5657894736842169E-2</v>
      </c>
    </row>
    <row r="48" spans="1:4" x14ac:dyDescent="0.15">
      <c r="A48" s="10">
        <v>45717</v>
      </c>
      <c r="B48" s="11">
        <f>'NVDA Stock Price History '!H52</f>
        <v>-0.12250020241276018</v>
      </c>
      <c r="C48" s="11">
        <f>'JPM Stock Price History'!H52</f>
        <v>-7.083333333333329E-2</v>
      </c>
      <c r="D48" s="11">
        <f>'JNJ Stock Price History '!H52</f>
        <v>5.3346265761396424E-3</v>
      </c>
    </row>
    <row r="49" spans="1:4" x14ac:dyDescent="0.15">
      <c r="A49" s="10">
        <v>45748</v>
      </c>
      <c r="B49" s="11">
        <f>'NVDA Stock Price History '!H53</f>
        <v>3.7784535987466276E-3</v>
      </c>
      <c r="C49" s="11">
        <f>'JPM Stock Price History'!H53</f>
        <v>8.2433435001236493E-3</v>
      </c>
      <c r="D49" s="11">
        <f>'JNJ Stock Price History '!H53</f>
        <v>-2.7499533378958427E-2</v>
      </c>
    </row>
    <row r="50" spans="1:4" x14ac:dyDescent="0.15">
      <c r="A50" s="10">
        <v>45778</v>
      </c>
      <c r="B50" s="11">
        <f>'NVDA Stock Price History '!H54</f>
        <v>0.19499469402193134</v>
      </c>
      <c r="C50" s="11">
        <f>'JPM Stock Price History'!H54</f>
        <v>8.7135562510294834E-2</v>
      </c>
      <c r="D50" s="11">
        <f>'JNJ Stock Price History '!H54</f>
        <v>1.3548387096774708E-3</v>
      </c>
    </row>
    <row r="51" spans="1:4" x14ac:dyDescent="0.15">
      <c r="A51" s="10">
        <v>45809</v>
      </c>
      <c r="B51" s="11">
        <f>'NVDA Stock Price History '!H55</f>
        <v>0.16606391615617389</v>
      </c>
      <c r="C51" s="11">
        <f>'JPM Stock Price History'!H55</f>
        <v>0.10223557143943443</v>
      </c>
      <c r="D51" s="11">
        <f>'JNJ Stock Price History '!H55</f>
        <v>-1.1198860693940898E-2</v>
      </c>
    </row>
    <row r="52" spans="1:4" x14ac:dyDescent="0.15">
      <c r="A52" s="10">
        <v>45839</v>
      </c>
      <c r="B52" s="11">
        <f>'NVDA Stock Price History '!H56</f>
        <v>0.13807665237699157</v>
      </c>
      <c r="C52" s="11">
        <f>'JPM Stock Price History'!H56</f>
        <v>1.8391831963972715E-2</v>
      </c>
      <c r="D52" s="11">
        <f>'JNJ Stock Price History '!H56</f>
        <v>7.6732026143790905E-2</v>
      </c>
    </row>
    <row r="53" spans="1:4" x14ac:dyDescent="0.15">
      <c r="A53" s="10">
        <v>45870</v>
      </c>
      <c r="B53" s="11">
        <f>'NVDA Stock Price History '!H57</f>
        <v>5.1697397897641111E-4</v>
      </c>
      <c r="C53" s="11">
        <f>'JPM Stock Price History'!H57</f>
        <v>3.7947658402203994E-2</v>
      </c>
      <c r="D53" s="11">
        <f>'JNJ Stock Price History '!H57</f>
        <v>7.064297800338408E-2</v>
      </c>
    </row>
    <row r="54" spans="1:4" x14ac:dyDescent="0.15">
      <c r="A54" s="10">
        <v>45901</v>
      </c>
      <c r="B54" s="11">
        <f>'NVDA Stock Price History '!H58</f>
        <v>9.7529411764705962E-2</v>
      </c>
      <c r="C54" s="11">
        <f>'JPM Stock Price History'!H58</f>
        <v>5.0522880170518938E-2</v>
      </c>
      <c r="D54" s="11">
        <f>'JNJ Stock Price History '!H58</f>
        <v>4.4796303600608489E-2</v>
      </c>
    </row>
    <row r="55" spans="1:4" x14ac:dyDescent="0.15">
      <c r="A55" s="10">
        <v>45931</v>
      </c>
      <c r="B55" s="11">
        <f>'NVDA Stock Price History '!H59</f>
        <v>9.3122435759015326E-2</v>
      </c>
      <c r="C55" s="11">
        <f>'JPM Stock Price History'!H59</f>
        <v>-9.0773003790171752E-3</v>
      </c>
      <c r="D55" s="11">
        <f>'JNJ Stock Price History '!H59</f>
        <v>1.5430107526881745E-2</v>
      </c>
    </row>
    <row r="56" spans="1:4" x14ac:dyDescent="0.15">
      <c r="A56" s="10">
        <v>45962</v>
      </c>
      <c r="B56" s="11">
        <f>'NVDA Stock Price History '!H60</f>
        <v>-0.14936562860438299</v>
      </c>
      <c r="C56" s="11">
        <f>'JPM Stock Price History'!H60</f>
        <v>6.6881028938906243E-3</v>
      </c>
      <c r="D56" s="11">
        <f>'JNJ Stock Price History '!H60</f>
        <v>9.4814814814814755E-2</v>
      </c>
    </row>
    <row r="57" spans="1:4" x14ac:dyDescent="0.15">
      <c r="A57" s="10">
        <v>45992</v>
      </c>
      <c r="B57" s="11">
        <f>'NVDA Stock Price History '!H61</f>
        <v>6.717784390020605E-2</v>
      </c>
      <c r="C57" s="11">
        <f>'JPM Stock Price History'!H61</f>
        <v>2.9621345262821661E-2</v>
      </c>
      <c r="D57" s="11">
        <f>'JNJ Stock Price History '!H61</f>
        <v>2.1791767554478867E-3</v>
      </c>
    </row>
    <row r="58" spans="1:4" x14ac:dyDescent="0.15">
      <c r="A58" s="10">
        <v>46023</v>
      </c>
      <c r="B58" s="11">
        <f>'NVDA Stock Price History '!H62</f>
        <v>6.7951959544879474E-3</v>
      </c>
      <c r="C58" s="11">
        <f>'JPM Stock Price History'!H62</f>
        <v>-5.1503875968992294E-2</v>
      </c>
      <c r="D58" s="11">
        <f>'JNJ Stock Price History '!H62</f>
        <v>9.8781549173194122E-2</v>
      </c>
    </row>
    <row r="59" spans="1:4" x14ac:dyDescent="0.15">
      <c r="A59" s="10">
        <v>46054</v>
      </c>
      <c r="B59" s="11">
        <f>'NVDA Stock Price History '!H63</f>
        <v>-5.3472222222222178E-2</v>
      </c>
      <c r="C59" s="11">
        <f>'JPM Stock Price History'!H63</f>
        <v>-1.3663535439794943E-2</v>
      </c>
      <c r="D59" s="11">
        <f>'JNJ Stock Price History '!H63</f>
        <v>8.8078135949544556E-2</v>
      </c>
    </row>
    <row r="60" spans="1:4" x14ac:dyDescent="0.15">
      <c r="A60" s="10">
        <v>46082</v>
      </c>
      <c r="B60" s="11">
        <f>'NVDA Stock Price History '!H64</f>
        <v>-3.485515113422006E-3</v>
      </c>
      <c r="C60" s="11">
        <f>'JPM Stock Price History'!H64</f>
        <v>-2.2048098775481742E-3</v>
      </c>
      <c r="D60" s="11">
        <f>'JNJ Stock Price History '!H64</f>
        <v>-1.9061760102732854E-2</v>
      </c>
    </row>
    <row r="61" spans="1:4" x14ac:dyDescent="0.15">
      <c r="A61" s="10">
        <v>46113</v>
      </c>
      <c r="B61" s="11">
        <f>'NVDA Stock Price History '!H65</f>
        <v>0.2155681818181818</v>
      </c>
      <c r="C61" s="11">
        <f>'JPM Stock Price History'!H65</f>
        <v>5.4775043163275694E-2</v>
      </c>
      <c r="D61" s="11">
        <f>'JNJ Stock Price History '!H65</f>
        <v>-7.4144951140065182E-2</v>
      </c>
    </row>
    <row r="62" spans="1:4" x14ac:dyDescent="0.15">
      <c r="A62" s="2" t="s">
        <v>200</v>
      </c>
      <c r="B62" s="12">
        <f>AVERAGE(B2:B61)</f>
        <v>5.413766192269874E-2</v>
      </c>
      <c r="C62" s="12">
        <f>AVERAGE(C2:C61)</f>
        <v>1.4254885853978154E-2</v>
      </c>
      <c r="D62" s="12">
        <f>AVERAGE(D2:D61)</f>
        <v>6.5912364463559447E-3</v>
      </c>
    </row>
    <row r="63" spans="1:4" x14ac:dyDescent="0.15">
      <c r="A63" s="2" t="s">
        <v>201</v>
      </c>
      <c r="B63" s="12">
        <f>_xlfn.STDEV.S(B2:B61)</f>
        <v>0.14628819831049053</v>
      </c>
      <c r="C63" s="12">
        <f>_xlfn.STDEV.S(C2:C61)</f>
        <v>6.6958887307288065E-2</v>
      </c>
      <c r="D63" s="12">
        <f>_xlfn.STDEV.S(D2:D61)</f>
        <v>4.8880336772488278E-2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6E45F-A0BE-A848-81A4-B51D11050C6C}">
  <sheetPr codeName="Sheet8"/>
  <dimension ref="A1:R63"/>
  <sheetViews>
    <sheetView topLeftCell="F1" workbookViewId="0">
      <selection activeCell="R15" sqref="R15"/>
    </sheetView>
  </sheetViews>
  <sheetFormatPr baseColWidth="10" defaultColWidth="10.83203125" defaultRowHeight="14" x14ac:dyDescent="0.15"/>
  <cols>
    <col min="1" max="1" width="15.6640625" style="2" bestFit="1" customWidth="1"/>
    <col min="2" max="6" width="10.83203125" style="2"/>
    <col min="7" max="7" width="15.6640625" style="2" bestFit="1" customWidth="1"/>
    <col min="8" max="8" width="24" style="2" bestFit="1" customWidth="1"/>
    <col min="9" max="9" width="12.6640625" style="2" bestFit="1" customWidth="1"/>
    <col min="10" max="10" width="13.33203125" style="2" bestFit="1" customWidth="1"/>
    <col min="11" max="11" width="12.6640625" style="2" bestFit="1" customWidth="1"/>
    <col min="12" max="16384" width="10.83203125" style="2"/>
  </cols>
  <sheetData>
    <row r="1" spans="1:18" x14ac:dyDescent="0.15">
      <c r="A1" s="3" t="s">
        <v>196</v>
      </c>
      <c r="B1" s="3" t="s">
        <v>197</v>
      </c>
      <c r="C1" s="3" t="s">
        <v>198</v>
      </c>
      <c r="D1" s="3" t="s">
        <v>199</v>
      </c>
      <c r="E1" s="3" t="s">
        <v>216</v>
      </c>
    </row>
    <row r="2" spans="1:18" x14ac:dyDescent="0.15">
      <c r="A2" s="10">
        <v>44317</v>
      </c>
      <c r="B2" s="11">
        <f>'NVDA Stock Price History '!H6</f>
        <v>7.3364177131526612E-2</v>
      </c>
      <c r="C2" s="11">
        <f>'JPM Stock Price History'!H6</f>
        <v>6.0639328382305555E-2</v>
      </c>
      <c r="D2" s="11">
        <f>'JNJ Stock Price History '!H6</f>
        <v>3.4535452322738421E-2</v>
      </c>
      <c r="E2" s="11">
        <f t="shared" ref="E2:E61" si="0">0.02/12</f>
        <v>1.6666666666666668E-3</v>
      </c>
      <c r="G2" s="15"/>
      <c r="H2" s="3" t="s">
        <v>197</v>
      </c>
      <c r="I2" s="3" t="s">
        <v>198</v>
      </c>
      <c r="J2" s="3" t="s">
        <v>199</v>
      </c>
      <c r="K2" s="3" t="s">
        <v>216</v>
      </c>
    </row>
    <row r="3" spans="1:18" x14ac:dyDescent="0.15">
      <c r="A3" s="10">
        <v>44348</v>
      </c>
      <c r="B3" s="11">
        <f>'NVDA Stock Price History '!H7</f>
        <v>0.22925629993853722</v>
      </c>
      <c r="C3" s="11">
        <f>'JPM Stock Price History'!H7</f>
        <v>-6.2277687345511618E-2</v>
      </c>
      <c r="D3" s="11">
        <f>'JNJ Stock Price History '!H7</f>
        <v>-3.1795474581251815E-2</v>
      </c>
      <c r="E3" s="11">
        <f t="shared" si="0"/>
        <v>1.6666666666666668E-3</v>
      </c>
      <c r="G3" s="13" t="s">
        <v>197</v>
      </c>
      <c r="H3" s="30" cm="1">
        <f t="array" ref="H3:K6">MMULT(TRANSPOSE(B2:E61-B62:E62),(B2:E61-B62:E62)/(60-1))</f>
        <v>2.1400236964929421E-2</v>
      </c>
      <c r="I3" s="30">
        <v>3.656602371402775E-3</v>
      </c>
      <c r="J3" s="30">
        <v>-1.0866274174415934E-3</v>
      </c>
      <c r="K3" s="30">
        <v>2.0312542382209128E-35</v>
      </c>
    </row>
    <row r="4" spans="1:18" x14ac:dyDescent="0.15">
      <c r="A4" s="10">
        <v>44378</v>
      </c>
      <c r="B4" s="11">
        <f>'NVDA Stock Price History '!H8</f>
        <v>-3.1296572280178792E-2</v>
      </c>
      <c r="C4" s="11">
        <f>'JPM Stock Price History'!H8</f>
        <v>-2.8670165109432932E-2</v>
      </c>
      <c r="D4" s="11">
        <f>'JNJ Stock Price History '!H8</f>
        <v>4.5283476994051108E-2</v>
      </c>
      <c r="E4" s="11">
        <f t="shared" si="0"/>
        <v>1.6666666666666668E-3</v>
      </c>
      <c r="G4" s="13" t="s">
        <v>198</v>
      </c>
      <c r="H4" s="30">
        <v>3.6566023714027745E-3</v>
      </c>
      <c r="I4" s="30">
        <v>4.4834925894301015E-3</v>
      </c>
      <c r="J4" s="30">
        <v>5.4396489181109597E-4</v>
      </c>
      <c r="K4" s="30">
        <v>-3.197344634236622E-36</v>
      </c>
    </row>
    <row r="5" spans="1:18" x14ac:dyDescent="0.15">
      <c r="A5" s="10">
        <v>44409</v>
      </c>
      <c r="B5" s="11">
        <f>'NVDA Stock Price History '!H9</f>
        <v>0.13654822335025388</v>
      </c>
      <c r="C5" s="11">
        <f>'JPM Stock Price History'!H9</f>
        <v>5.2094981253699844E-2</v>
      </c>
      <c r="D5" s="11">
        <f>'JNJ Stock Price History '!H9</f>
        <v>3.8267524786919265E-3</v>
      </c>
      <c r="E5" s="11">
        <f t="shared" si="0"/>
        <v>1.6666666666666668E-3</v>
      </c>
      <c r="G5" s="13" t="s">
        <v>199</v>
      </c>
      <c r="H5" s="30">
        <v>-1.0866274174415934E-3</v>
      </c>
      <c r="I5" s="30">
        <v>5.4396489181109597E-4</v>
      </c>
      <c r="J5" s="30">
        <v>2.3892873229918702E-3</v>
      </c>
      <c r="K5" s="30">
        <v>6.394689268473244E-36</v>
      </c>
    </row>
    <row r="6" spans="1:18" x14ac:dyDescent="0.15">
      <c r="A6" s="10">
        <v>44440</v>
      </c>
      <c r="B6" s="11">
        <f>'NVDA Stock Price History '!H10</f>
        <v>-7.8701645175633606E-2</v>
      </c>
      <c r="C6" s="11">
        <f>'JPM Stock Price History'!H10</f>
        <v>2.1657720634128068E-2</v>
      </c>
      <c r="D6" s="11">
        <f>'JNJ Stock Price History '!H10</f>
        <v>-6.5934065934065963E-2</v>
      </c>
      <c r="E6" s="11">
        <f t="shared" si="0"/>
        <v>1.6666666666666668E-3</v>
      </c>
      <c r="G6" s="14" t="s">
        <v>216</v>
      </c>
      <c r="H6" s="31">
        <v>7.5231638452626401E-36</v>
      </c>
      <c r="I6" s="31">
        <v>-1.0156271191104564E-35</v>
      </c>
      <c r="J6" s="31">
        <v>6.018531076210112E-36</v>
      </c>
      <c r="K6" s="31">
        <v>4.7816719355482861E-36</v>
      </c>
    </row>
    <row r="7" spans="1:18" x14ac:dyDescent="0.15">
      <c r="A7" s="10">
        <v>44470</v>
      </c>
      <c r="B7" s="11">
        <f>'NVDA Stock Price History '!H11</f>
        <v>0.23228915662650604</v>
      </c>
      <c r="C7" s="11">
        <f>'JPM Stock Price History'!H11</f>
        <v>3.5914634146341377E-2</v>
      </c>
      <c r="D7" s="11">
        <f>'JNJ Stock Price History '!H11</f>
        <v>8.3575806351760939E-3</v>
      </c>
      <c r="E7" s="11">
        <f t="shared" si="0"/>
        <v>1.6666666666666668E-3</v>
      </c>
    </row>
    <row r="8" spans="1:18" x14ac:dyDescent="0.15">
      <c r="A8" s="10">
        <v>44501</v>
      </c>
      <c r="B8" s="11">
        <f>'NVDA Stock Price History '!H12</f>
        <v>0.27407407407407414</v>
      </c>
      <c r="C8" s="11">
        <f>'JPM Stock Price History'!H12</f>
        <v>-7.6784468728202632E-2</v>
      </c>
      <c r="D8" s="11">
        <f>'JNJ Stock Price History '!H12</f>
        <v>-4.4312331453787629E-2</v>
      </c>
      <c r="E8" s="11">
        <f t="shared" si="0"/>
        <v>1.6666666666666668E-3</v>
      </c>
    </row>
    <row r="9" spans="1:18" x14ac:dyDescent="0.15">
      <c r="A9" s="10">
        <v>44531</v>
      </c>
      <c r="B9" s="11">
        <f>'NVDA Stock Price History '!H13</f>
        <v>-0.11468994581577359</v>
      </c>
      <c r="C9" s="11">
        <f>'JPM Stock Price History'!H13</f>
        <v>-1.645962732919258E-2</v>
      </c>
      <c r="D9" s="11">
        <f>'JNJ Stock Price History '!H13</f>
        <v>9.0451300356960723E-2</v>
      </c>
      <c r="E9" s="11">
        <f t="shared" si="0"/>
        <v>1.6666666666666668E-3</v>
      </c>
    </row>
    <row r="10" spans="1:18" x14ac:dyDescent="0.15">
      <c r="A10" s="10">
        <v>44562</v>
      </c>
      <c r="B10" s="11">
        <f>'NVDA Stock Price History '!H14</f>
        <v>-0.17873910127431261</v>
      </c>
      <c r="C10" s="11">
        <f>'JPM Stock Price History'!H14</f>
        <v>-7.0436632053046525E-2</v>
      </c>
      <c r="D10" s="11">
        <f>'JNJ Stock Price History '!H14</f>
        <v>1.2220198578226801E-2</v>
      </c>
      <c r="E10" s="11">
        <f t="shared" si="0"/>
        <v>1.6666666666666668E-3</v>
      </c>
      <c r="G10" s="7"/>
      <c r="H10" s="7"/>
      <c r="I10" s="8">
        <v>0.9</v>
      </c>
      <c r="J10" s="8">
        <v>0.8</v>
      </c>
      <c r="K10" s="8">
        <v>0.7</v>
      </c>
      <c r="L10" s="8">
        <v>0.6</v>
      </c>
      <c r="M10" s="8">
        <v>0.5</v>
      </c>
      <c r="N10" s="8">
        <v>0.4</v>
      </c>
      <c r="O10" s="8">
        <v>0.3</v>
      </c>
      <c r="P10" s="8">
        <v>0.2</v>
      </c>
      <c r="Q10" s="8">
        <v>0.1</v>
      </c>
      <c r="R10" s="7"/>
    </row>
    <row r="11" spans="1:18" x14ac:dyDescent="0.15">
      <c r="A11" s="10">
        <v>44593</v>
      </c>
      <c r="B11" s="11">
        <f>'NVDA Stock Price History '!H15</f>
        <v>-2.8286852589641465E-2</v>
      </c>
      <c r="C11" s="11">
        <f>'JPM Stock Price History'!H15</f>
        <v>-4.633801869661703E-2</v>
      </c>
      <c r="D11" s="11">
        <f>'JNJ Stock Price History '!H15</f>
        <v>-4.1749155700477554E-2</v>
      </c>
      <c r="E11" s="11">
        <f t="shared" si="0"/>
        <v>1.6666666666666668E-3</v>
      </c>
      <c r="G11" s="9" t="s">
        <v>202</v>
      </c>
      <c r="H11" s="9" t="s">
        <v>203</v>
      </c>
      <c r="I11" s="9" t="s">
        <v>204</v>
      </c>
      <c r="J11" s="9" t="s">
        <v>205</v>
      </c>
      <c r="K11" s="9" t="s">
        <v>206</v>
      </c>
      <c r="L11" s="9" t="s">
        <v>207</v>
      </c>
      <c r="M11" s="9" t="s">
        <v>208</v>
      </c>
      <c r="N11" s="9" t="s">
        <v>209</v>
      </c>
      <c r="O11" s="9" t="s">
        <v>210</v>
      </c>
      <c r="P11" s="9" t="s">
        <v>211</v>
      </c>
      <c r="Q11" s="9" t="s">
        <v>212</v>
      </c>
      <c r="R11" s="9" t="s">
        <v>213</v>
      </c>
    </row>
    <row r="12" spans="1:18" x14ac:dyDescent="0.15">
      <c r="A12" s="10">
        <v>44621</v>
      </c>
      <c r="B12" s="11">
        <f>'NVDA Stock Price History '!H16</f>
        <v>0.12350761630300536</v>
      </c>
      <c r="C12" s="11">
        <f>'JPM Stock Price History'!H16</f>
        <v>-2.6563838903170517E-2</v>
      </c>
      <c r="D12" s="11">
        <f>'JNJ Stock Price History '!H16</f>
        <v>8.7033856722276731E-2</v>
      </c>
      <c r="E12" s="11">
        <f t="shared" si="0"/>
        <v>1.6666666666666668E-3</v>
      </c>
      <c r="G12" s="16" t="s">
        <v>197</v>
      </c>
      <c r="H12" s="17">
        <v>0</v>
      </c>
      <c r="I12" s="17">
        <f>I$10*$H12+(1-I$10)*$R12</f>
        <v>8.093608268292235E-2</v>
      </c>
      <c r="J12" s="17">
        <f t="shared" ref="J12:Q14" si="1">J$10*$H12+(1-J$10)*$R12</f>
        <v>0.1618721653658447</v>
      </c>
      <c r="K12" s="17">
        <f t="shared" si="1"/>
        <v>0.24280824804876716</v>
      </c>
      <c r="L12" s="17">
        <f t="shared" si="1"/>
        <v>0.32374433073168951</v>
      </c>
      <c r="M12" s="17">
        <f t="shared" si="1"/>
        <v>0.40468041341461186</v>
      </c>
      <c r="N12" s="17">
        <f t="shared" si="1"/>
        <v>0.48561649609753421</v>
      </c>
      <c r="O12" s="17">
        <f t="shared" si="1"/>
        <v>0.56655257878045662</v>
      </c>
      <c r="P12" s="17">
        <f t="shared" si="1"/>
        <v>0.64748866146337902</v>
      </c>
      <c r="Q12" s="17">
        <f t="shared" si="1"/>
        <v>0.72842474414630132</v>
      </c>
      <c r="R12" s="17">
        <v>0.80936082682922372</v>
      </c>
    </row>
    <row r="13" spans="1:18" x14ac:dyDescent="0.15">
      <c r="A13" s="10">
        <v>44652</v>
      </c>
      <c r="B13" s="11">
        <f>'NVDA Stock Price History '!H17</f>
        <v>-0.32249817384952517</v>
      </c>
      <c r="C13" s="11">
        <f>'JPM Stock Price History'!H17</f>
        <v>-0.1312954876273654</v>
      </c>
      <c r="D13" s="11">
        <f>'JNJ Stock Price History '!H17</f>
        <v>1.926009601807397E-2</v>
      </c>
      <c r="E13" s="11">
        <f t="shared" si="0"/>
        <v>1.6666666666666668E-3</v>
      </c>
      <c r="G13" s="2" t="s">
        <v>198</v>
      </c>
      <c r="H13" s="18">
        <v>0</v>
      </c>
      <c r="I13" s="18">
        <f t="shared" ref="I13:Q15" si="2">I$10*$H13+(1-I$10)*$R13</f>
        <v>3.4551506948278472E-2</v>
      </c>
      <c r="J13" s="18">
        <f t="shared" si="1"/>
        <v>6.9103013896556945E-2</v>
      </c>
      <c r="K13" s="18">
        <f t="shared" si="1"/>
        <v>0.10365452084483547</v>
      </c>
      <c r="L13" s="18">
        <f t="shared" si="1"/>
        <v>0.13820602779311394</v>
      </c>
      <c r="M13" s="18">
        <f t="shared" si="1"/>
        <v>0.17275753474139241</v>
      </c>
      <c r="N13" s="18">
        <f t="shared" si="1"/>
        <v>0.20730904168967088</v>
      </c>
      <c r="O13" s="18">
        <f t="shared" si="1"/>
        <v>0.24186054863794937</v>
      </c>
      <c r="P13" s="18">
        <f t="shared" si="1"/>
        <v>0.27641205558622789</v>
      </c>
      <c r="Q13" s="18">
        <f t="shared" si="1"/>
        <v>0.31096356253450635</v>
      </c>
      <c r="R13" s="18">
        <v>0.34551506948278482</v>
      </c>
    </row>
    <row r="14" spans="1:18" x14ac:dyDescent="0.15">
      <c r="A14" s="10">
        <v>44682</v>
      </c>
      <c r="B14" s="11">
        <f>'NVDA Stock Price History '!H18</f>
        <v>7.0118662351673442E-3</v>
      </c>
      <c r="C14" s="11">
        <f>'JPM Stock Price History'!H18</f>
        <v>0.10301968635301964</v>
      </c>
      <c r="D14" s="11">
        <f>'JNJ Stock Price History '!H18</f>
        <v>-5.2086219316229716E-3</v>
      </c>
      <c r="E14" s="11">
        <f t="shared" si="0"/>
        <v>1.6666666666666668E-3</v>
      </c>
      <c r="G14" s="2" t="s">
        <v>199</v>
      </c>
      <c r="H14" s="18">
        <v>0</v>
      </c>
      <c r="I14" s="18">
        <f t="shared" si="2"/>
        <v>9.8822052812762906E-2</v>
      </c>
      <c r="J14" s="18">
        <f t="shared" si="1"/>
        <v>0.19764410562552581</v>
      </c>
      <c r="K14" s="18">
        <f t="shared" si="1"/>
        <v>0.29646615843828883</v>
      </c>
      <c r="L14" s="18">
        <f t="shared" si="1"/>
        <v>0.39528821125105174</v>
      </c>
      <c r="M14" s="18">
        <f t="shared" si="1"/>
        <v>0.49411026406381464</v>
      </c>
      <c r="N14" s="18">
        <f t="shared" si="1"/>
        <v>0.59293231687657755</v>
      </c>
      <c r="O14" s="18">
        <f t="shared" si="1"/>
        <v>0.69175436968934045</v>
      </c>
      <c r="P14" s="18">
        <f t="shared" si="1"/>
        <v>0.79057642250210347</v>
      </c>
      <c r="Q14" s="18">
        <f t="shared" si="1"/>
        <v>0.88939847531486638</v>
      </c>
      <c r="R14" s="18">
        <v>0.98822052812762928</v>
      </c>
    </row>
    <row r="15" spans="1:18" x14ac:dyDescent="0.15">
      <c r="A15" s="10">
        <v>44713</v>
      </c>
      <c r="B15" s="11">
        <f>'NVDA Stock Price History '!H19</f>
        <v>-0.19017094017094011</v>
      </c>
      <c r="C15" s="11">
        <f>'JPM Stock Price History'!H19</f>
        <v>-0.1524798675397005</v>
      </c>
      <c r="D15" s="11">
        <f>'JNJ Stock Price History '!H19</f>
        <v>-9.1543399385990223E-3</v>
      </c>
      <c r="E15" s="11">
        <f t="shared" si="0"/>
        <v>1.6666666666666668E-3</v>
      </c>
      <c r="G15" s="15" t="s">
        <v>216</v>
      </c>
      <c r="H15" s="19">
        <v>1</v>
      </c>
      <c r="I15" s="20">
        <f t="shared" si="2"/>
        <v>0.7856903590237817</v>
      </c>
      <c r="J15" s="20">
        <f t="shared" si="2"/>
        <v>0.57138071804756341</v>
      </c>
      <c r="K15" s="20">
        <f t="shared" si="2"/>
        <v>0.35707107707134483</v>
      </c>
      <c r="L15" s="20">
        <f t="shared" si="2"/>
        <v>0.14276143609512648</v>
      </c>
      <c r="M15" s="20">
        <f t="shared" si="2"/>
        <v>-7.1548204881091815E-2</v>
      </c>
      <c r="N15" s="20">
        <f t="shared" si="2"/>
        <v>-0.28585784585731011</v>
      </c>
      <c r="O15" s="20">
        <f t="shared" si="2"/>
        <v>-0.50016748683352841</v>
      </c>
      <c r="P15" s="20">
        <f t="shared" si="2"/>
        <v>-0.71447712780974704</v>
      </c>
      <c r="Q15" s="20">
        <f t="shared" si="2"/>
        <v>-0.92878676878596533</v>
      </c>
      <c r="R15" s="20">
        <v>-1.1430964097621836</v>
      </c>
    </row>
    <row r="16" spans="1:18" x14ac:dyDescent="0.15">
      <c r="A16" s="10">
        <v>44743</v>
      </c>
      <c r="B16" s="11">
        <f>'NVDA Stock Price History '!H20</f>
        <v>0.21879194630872481</v>
      </c>
      <c r="C16" s="11">
        <f>'JPM Stock Price History'!H20</f>
        <v>2.4056813138038115E-2</v>
      </c>
      <c r="D16" s="11">
        <f>'JNJ Stock Price History '!H20</f>
        <v>-1.6511693434770238E-2</v>
      </c>
      <c r="E16" s="11">
        <f t="shared" si="0"/>
        <v>1.6666666666666668E-3</v>
      </c>
      <c r="G16" s="7" t="s">
        <v>214</v>
      </c>
      <c r="H16" s="11">
        <f>SUM(H12:H15)</f>
        <v>1</v>
      </c>
      <c r="I16" s="11">
        <f t="shared" ref="I16:R16" si="3">SUM(I12:I15)</f>
        <v>1.0000000014677455</v>
      </c>
      <c r="J16" s="11">
        <f t="shared" si="3"/>
        <v>1.000000002935491</v>
      </c>
      <c r="K16" s="11">
        <f t="shared" si="3"/>
        <v>1.0000000044032362</v>
      </c>
      <c r="L16" s="11">
        <f t="shared" si="3"/>
        <v>1.0000000058709817</v>
      </c>
      <c r="M16" s="11">
        <f t="shared" si="3"/>
        <v>1.0000000073387272</v>
      </c>
      <c r="N16" s="11">
        <f t="shared" si="3"/>
        <v>1.0000000088064724</v>
      </c>
      <c r="O16" s="11">
        <f t="shared" si="3"/>
        <v>1.0000000102742179</v>
      </c>
      <c r="P16" s="11">
        <f t="shared" si="3"/>
        <v>1.0000000117419634</v>
      </c>
      <c r="Q16" s="11">
        <f t="shared" si="3"/>
        <v>1.0000000132097089</v>
      </c>
      <c r="R16" s="11">
        <f t="shared" si="3"/>
        <v>1.0000000146774544</v>
      </c>
    </row>
    <row r="17" spans="1:18" x14ac:dyDescent="0.15">
      <c r="A17" s="10">
        <v>44774</v>
      </c>
      <c r="B17" s="11">
        <f>'NVDA Stock Price History '!H21</f>
        <v>-0.16996699669966997</v>
      </c>
      <c r="C17" s="11">
        <f>'JPM Stock Price History'!H21</f>
        <v>-6.724890829694288E-3</v>
      </c>
      <c r="D17" s="11">
        <f>'JNJ Stock Price History '!H21</f>
        <v>-7.3663661939484329E-2</v>
      </c>
      <c r="E17" s="11">
        <f t="shared" si="0"/>
        <v>1.6666666666666668E-3</v>
      </c>
      <c r="G17" s="7" t="s">
        <v>200</v>
      </c>
      <c r="H17" s="11" cm="1">
        <f t="array" ref="H17">SUM(TRANSPOSE(H12:H15)*$B$62:$E$62)</f>
        <v>1.6666666666666646E-3</v>
      </c>
      <c r="I17" s="11">
        <f t="array" ref="I17">SUM(TRANSPOSE(I12:I15)*$B$62:$E$62)</f>
        <v>6.8350615171757813E-3</v>
      </c>
      <c r="J17" s="11">
        <f t="array" ref="J17">SUM(TRANSPOSE(J12:J15)*$B$62:$E$62)</f>
        <v>1.2003456367684897E-2</v>
      </c>
      <c r="K17" s="11">
        <f t="array" ref="K17">SUM(TRANSPOSE(K12:K15)*$B$62:$E$62)</f>
        <v>1.717185121819402E-2</v>
      </c>
      <c r="L17" s="11">
        <f t="array" ref="L17">SUM(TRANSPOSE(L12:L15)*$B$62:$E$62)</f>
        <v>2.2340246068703131E-2</v>
      </c>
      <c r="M17" s="11">
        <f t="array" ref="M17">SUM(TRANSPOSE(M12:M15)*$B$62:$E$62)</f>
        <v>2.7508640919212252E-2</v>
      </c>
      <c r="N17" s="11">
        <f t="array" ref="N17">SUM(TRANSPOSE(N12:N15)*$B$62:$E$62)</f>
        <v>3.267703576972137E-2</v>
      </c>
      <c r="O17" s="11">
        <f t="array" ref="O17">SUM(TRANSPOSE(O12:O15)*$B$62:$E$62)</f>
        <v>3.7845430620230498E-2</v>
      </c>
      <c r="P17" s="11">
        <f t="array" ref="P17">SUM(TRANSPOSE(P12:P15)*$B$62:$E$62)</f>
        <v>4.3013825470739599E-2</v>
      </c>
      <c r="Q17" s="11">
        <f t="array" ref="Q17">SUM(TRANSPOSE(Q12:Q15)*$B$62:$E$62)</f>
        <v>4.818222032124872E-2</v>
      </c>
      <c r="R17" s="11">
        <f t="array" ref="R17">SUM(TRANSPOSE(R12:R15)*$B$62:$E$62)</f>
        <v>5.3350615171757834E-2</v>
      </c>
    </row>
    <row r="18" spans="1:18" x14ac:dyDescent="0.15">
      <c r="A18" s="10">
        <v>44805</v>
      </c>
      <c r="B18" s="11">
        <f>'NVDA Stock Price History '!H22</f>
        <v>-0.14567206192821958</v>
      </c>
      <c r="C18" s="11">
        <f>'JPM Stock Price History'!H22</f>
        <v>-7.7588489716656425E-2</v>
      </c>
      <c r="D18" s="11">
        <f>'JNJ Stock Price History '!H22</f>
        <v>1.1579664375503155E-2</v>
      </c>
      <c r="E18" s="11">
        <f t="shared" si="0"/>
        <v>1.6666666666666668E-3</v>
      </c>
      <c r="G18" s="7" t="s">
        <v>215</v>
      </c>
      <c r="H18" s="11">
        <f t="array" ref="H18">SQRT(MMULT(MMULT(TRANSPOSE(H12:H15),$H$3:$K$6),H12:H15))</f>
        <v>2.1867034402379042E-18</v>
      </c>
      <c r="I18" s="11">
        <f t="array" ref="I18">SQRT(MMULT(MMULT(TRANSPOSE(I12:I15),$H$3:$K$6),I12:I15))</f>
        <v>1.3253478305518667E-2</v>
      </c>
      <c r="J18" s="11">
        <f t="array" ref="J18">SQRT(MMULT(MMULT(TRANSPOSE(J12:J15),$H$3:$K$6),J12:J15))</f>
        <v>2.6506956611037333E-2</v>
      </c>
      <c r="K18" s="11">
        <f t="array" ref="K18">SQRT(MMULT(MMULT(TRANSPOSE(K12:K15),$H$3:$K$6),K12:K15))</f>
        <v>3.9760434916556009E-2</v>
      </c>
      <c r="L18" s="11">
        <f t="array" ref="L18">SQRT(MMULT(MMULT(TRANSPOSE(L12:L15),$H$3:$K$6),L12:L15))</f>
        <v>5.3013913222074681E-2</v>
      </c>
      <c r="M18" s="11">
        <f t="array" ref="M18">SQRT(MMULT(MMULT(TRANSPOSE(M12:M15),$H$3:$K$6),M12:M15))</f>
        <v>6.6267391527593353E-2</v>
      </c>
      <c r="N18" s="11">
        <f t="array" ref="N18">SQRT(MMULT(MMULT(TRANSPOSE(N12:N15),$H$3:$K$6),N12:N15))</f>
        <v>7.9520869833112004E-2</v>
      </c>
      <c r="O18" s="11">
        <f t="array" ref="O18">SQRT(MMULT(MMULT(TRANSPOSE(O12:O15),$H$3:$K$6),O12:O15))</f>
        <v>9.2774348138630683E-2</v>
      </c>
      <c r="P18" s="11">
        <f t="array" ref="P18">SQRT(MMULT(MMULT(TRANSPOSE(P12:P15),$H$3:$K$6),P12:P15))</f>
        <v>0.10602782644414936</v>
      </c>
      <c r="Q18" s="11">
        <f t="array" ref="Q18">SQRT(MMULT(MMULT(TRANSPOSE(Q12:Q15),$H$3:$K$6),Q12:Q15))</f>
        <v>0.11928130474966804</v>
      </c>
      <c r="R18" s="11">
        <f t="array" ref="R18">SQRT(MMULT(MMULT(TRANSPOSE(R12:R15),$H$3:$K$6),R12:R15))</f>
        <v>0.13253478305518671</v>
      </c>
    </row>
    <row r="19" spans="1:18" x14ac:dyDescent="0.15">
      <c r="A19" s="10">
        <v>44835</v>
      </c>
      <c r="B19" s="11">
        <f>'NVDA Stock Price History '!H23</f>
        <v>9.3117408906882623E-2</v>
      </c>
      <c r="C19" s="11">
        <f>'JPM Stock Price History'!H23</f>
        <v>0.1918197311115318</v>
      </c>
      <c r="D19" s="11">
        <f>'JNJ Stock Price History '!H23</f>
        <v>5.8920202081684872E-2</v>
      </c>
      <c r="E19" s="11">
        <f t="shared" si="0"/>
        <v>1.6666666666666668E-3</v>
      </c>
    </row>
    <row r="20" spans="1:18" x14ac:dyDescent="0.15">
      <c r="A20" s="10">
        <v>44866</v>
      </c>
      <c r="B20" s="11">
        <f>'NVDA Stock Price History '!H24</f>
        <v>0.22519913106444614</v>
      </c>
      <c r="C20" s="11">
        <f>'JPM Stock Price History'!H24</f>
        <v>8.914637030030742E-2</v>
      </c>
      <c r="D20" s="11">
        <f>'JNJ Stock Price History '!H24</f>
        <v>2.2635872687578981E-2</v>
      </c>
      <c r="E20" s="11">
        <f t="shared" si="0"/>
        <v>1.6666666666666668E-3</v>
      </c>
    </row>
    <row r="21" spans="1:18" x14ac:dyDescent="0.15">
      <c r="A21" s="10">
        <v>44896</v>
      </c>
      <c r="B21" s="11">
        <f>'NVDA Stock Price History '!H25</f>
        <v>-0.14058823529411768</v>
      </c>
      <c r="C21" s="11">
        <f>'JPM Stock Price History'!H25</f>
        <v>-2.9526704298740863E-2</v>
      </c>
      <c r="D21" s="11">
        <f>'JNJ Stock Price History '!H25</f>
        <v>-1.3128491620111701E-2</v>
      </c>
      <c r="E21" s="11">
        <f t="shared" si="0"/>
        <v>1.6666666666666668E-3</v>
      </c>
    </row>
    <row r="22" spans="1:18" x14ac:dyDescent="0.15">
      <c r="A22" s="10">
        <v>44927</v>
      </c>
      <c r="B22" s="11">
        <f>'NVDA Stock Price History '!H26</f>
        <v>0.31582491582491579</v>
      </c>
      <c r="C22" s="11">
        <f>'JPM Stock Price History'!H26</f>
        <v>3.4900916888494518E-2</v>
      </c>
      <c r="D22" s="11">
        <f>'JNJ Stock Price History '!H26</f>
        <v>-7.2320617620345196E-2</v>
      </c>
      <c r="E22" s="11">
        <f t="shared" si="0"/>
        <v>1.6666666666666668E-3</v>
      </c>
    </row>
    <row r="23" spans="1:18" x14ac:dyDescent="0.15">
      <c r="A23" s="10">
        <v>44958</v>
      </c>
      <c r="B23" s="11">
        <f>'NVDA Stock Price History '!H27</f>
        <v>0.17927882173692217</v>
      </c>
      <c r="C23" s="11">
        <f>'JPM Stock Price History'!H27</f>
        <v>3.7189783662542407E-2</v>
      </c>
      <c r="D23" s="11">
        <f>'JNJ Stock Price History '!H27</f>
        <v>-5.9696913921099562E-2</v>
      </c>
      <c r="E23" s="11">
        <f t="shared" si="0"/>
        <v>1.6666666666666668E-3</v>
      </c>
    </row>
    <row r="24" spans="1:18" x14ac:dyDescent="0.15">
      <c r="A24" s="10">
        <v>44986</v>
      </c>
      <c r="B24" s="11">
        <f>'NVDA Stock Price History '!H28</f>
        <v>0.19793014230271666</v>
      </c>
      <c r="C24" s="11">
        <f>'JPM Stock Price History'!H28</f>
        <v>-8.2969739619985869E-2</v>
      </c>
      <c r="D24" s="11">
        <f>'JNJ Stock Price History '!H28</f>
        <v>1.3005685902882225E-2</v>
      </c>
      <c r="E24" s="11">
        <f t="shared" si="0"/>
        <v>1.6666666666666668E-3</v>
      </c>
    </row>
    <row r="25" spans="1:18" x14ac:dyDescent="0.15">
      <c r="A25" s="10">
        <v>45017</v>
      </c>
      <c r="B25" s="11">
        <f>'NVDA Stock Price History '!H29</f>
        <v>8.7241003271537054E-3</v>
      </c>
      <c r="C25" s="11">
        <f>'JPM Stock Price History'!H29</f>
        <v>6.4121314756369896E-2</v>
      </c>
      <c r="D25" s="11">
        <f>'JNJ Stock Price History '!H29</f>
        <v>5.6469828977089388E-2</v>
      </c>
      <c r="E25" s="11">
        <f t="shared" si="0"/>
        <v>1.6666666666666668E-3</v>
      </c>
    </row>
    <row r="26" spans="1:18" x14ac:dyDescent="0.15">
      <c r="A26" s="10">
        <v>45047</v>
      </c>
      <c r="B26" s="11">
        <f>'NVDA Stock Price History '!H30</f>
        <v>0.35883620689655166</v>
      </c>
      <c r="C26" s="11">
        <f>'JPM Stock Price History'!H30</f>
        <v>-4.6042457472233823E-2</v>
      </c>
      <c r="D26" s="11">
        <f>'JNJ Stock Price History '!H30</f>
        <v>-5.2200488997554965E-2</v>
      </c>
      <c r="E26" s="11">
        <f t="shared" si="0"/>
        <v>1.6666666666666668E-3</v>
      </c>
    </row>
    <row r="27" spans="1:18" x14ac:dyDescent="0.15">
      <c r="A27" s="10">
        <v>45078</v>
      </c>
      <c r="B27" s="11">
        <f>'NVDA Stock Price History '!H31</f>
        <v>9.8986749805144061E-2</v>
      </c>
      <c r="C27" s="11">
        <f>'JPM Stock Price History'!H31</f>
        <v>6.5338411954292311E-2</v>
      </c>
      <c r="D27" s="11">
        <f>'JNJ Stock Price History '!H31</f>
        <v>7.1049566455286775E-2</v>
      </c>
      <c r="E27" s="11">
        <f>0.02/12</f>
        <v>1.6666666666666668E-3</v>
      </c>
    </row>
    <row r="28" spans="1:18" x14ac:dyDescent="0.15">
      <c r="A28" s="10">
        <v>45108</v>
      </c>
      <c r="B28" s="11">
        <f>'NVDA Stock Price History '!H32</f>
        <v>9.9012229539040292E-2</v>
      </c>
      <c r="C28" s="11">
        <f>'JPM Stock Price History'!H32</f>
        <v>8.0511662904439493E-2</v>
      </c>
      <c r="D28" s="11">
        <f>'JNJ Stock Price History '!H32</f>
        <v>1.9410977242302528E-2</v>
      </c>
      <c r="E28" s="11">
        <f t="shared" si="0"/>
        <v>1.6666666666666668E-3</v>
      </c>
    </row>
    <row r="29" spans="1:18" x14ac:dyDescent="0.15">
      <c r="A29" s="10">
        <v>45139</v>
      </c>
      <c r="B29" s="11">
        <f>'NVDA Stock Price History '!H33</f>
        <v>6.2204046491605693E-2</v>
      </c>
      <c r="C29" s="11">
        <f>'JPM Stock Price History'!H33</f>
        <v>-7.0507527154925961E-2</v>
      </c>
      <c r="D29" s="11">
        <f>'JNJ Stock Price History '!H33</f>
        <v>-2.8190178517761601E-2</v>
      </c>
      <c r="E29" s="11">
        <f t="shared" si="0"/>
        <v>1.6666666666666668E-3</v>
      </c>
    </row>
    <row r="30" spans="1:18" x14ac:dyDescent="0.15">
      <c r="A30" s="10">
        <v>45170</v>
      </c>
      <c r="B30" s="11">
        <f>'NVDA Stock Price History '!H34</f>
        <v>-0.12580385852090029</v>
      </c>
      <c r="C30" s="11">
        <f>'JPM Stock Price History'!H34</f>
        <v>-7.3242521733177706E-3</v>
      </c>
      <c r="D30" s="11">
        <f>'JNJ Stock Price History '!H34</f>
        <v>-3.5125758889852483E-2</v>
      </c>
      <c r="E30" s="11">
        <f t="shared" si="0"/>
        <v>1.6666666666666668E-3</v>
      </c>
    </row>
    <row r="31" spans="1:18" x14ac:dyDescent="0.15">
      <c r="A31" s="10">
        <v>45200</v>
      </c>
      <c r="B31" s="11">
        <f>'NVDA Stock Price History '!H35</f>
        <v>-7.3813309107426756E-2</v>
      </c>
      <c r="C31" s="11">
        <f>'JPM Stock Price History'!H35</f>
        <v>-3.9839812193606362E-2</v>
      </c>
      <c r="D31" s="11">
        <f>'JNJ Stock Price History '!H35</f>
        <v>-4.5553982756401906E-2</v>
      </c>
      <c r="E31" s="11">
        <f t="shared" si="0"/>
        <v>1.6666666666666668E-3</v>
      </c>
    </row>
    <row r="32" spans="1:18" x14ac:dyDescent="0.15">
      <c r="A32" s="10">
        <v>45231</v>
      </c>
      <c r="B32" s="11">
        <f>'NVDA Stock Price History '!H36</f>
        <v>0.1440802348336595</v>
      </c>
      <c r="C32" s="11">
        <f>'JPM Stock Price History'!H36</f>
        <v>0.12086175942549381</v>
      </c>
      <c r="D32" s="11">
        <f>'JNJ Stock Price History '!H36</f>
        <v>3.6664655808030022E-2</v>
      </c>
      <c r="E32" s="11">
        <f t="shared" si="0"/>
        <v>1.6666666666666668E-3</v>
      </c>
    </row>
    <row r="33" spans="1:5" x14ac:dyDescent="0.15">
      <c r="A33" s="10">
        <v>45261</v>
      </c>
      <c r="B33" s="11">
        <f>'NVDA Stock Price History '!H37</f>
        <v>6.4259617451106851E-2</v>
      </c>
      <c r="C33" s="11">
        <f>'JPM Stock Price History'!H37</f>
        <v>9.1644204851752037E-2</v>
      </c>
      <c r="D33" s="11">
        <f>'JNJ Stock Price History '!H37</f>
        <v>1.9176681155715378E-3</v>
      </c>
      <c r="E33" s="11">
        <f t="shared" si="0"/>
        <v>1.6666666666666668E-3</v>
      </c>
    </row>
    <row r="34" spans="1:5" x14ac:dyDescent="0.15">
      <c r="A34" s="10">
        <v>45292</v>
      </c>
      <c r="B34" s="11">
        <f>'NVDA Stock Price History '!H38</f>
        <v>0.24959382615759543</v>
      </c>
      <c r="C34" s="11">
        <f>'JPM Stock Price History'!H38</f>
        <v>3.116683423029162E-2</v>
      </c>
      <c r="D34" s="11">
        <f>'JNJ Stock Price History '!H38</f>
        <v>1.2553367743579933E-2</v>
      </c>
      <c r="E34" s="11">
        <f t="shared" si="0"/>
        <v>1.6666666666666668E-3</v>
      </c>
    </row>
    <row r="35" spans="1:5" x14ac:dyDescent="0.15">
      <c r="A35" s="10">
        <v>45323</v>
      </c>
      <c r="B35" s="11">
        <f>'NVDA Stock Price History '!H39</f>
        <v>0.27391304347826084</v>
      </c>
      <c r="C35" s="11">
        <f>'JPM Stock Price History'!H39</f>
        <v>7.152729785763659E-2</v>
      </c>
      <c r="D35" s="11">
        <f>'JNJ Stock Price History '!H39</f>
        <v>2.0359129994941823E-2</v>
      </c>
      <c r="E35" s="11">
        <f t="shared" si="0"/>
        <v>1.6666666666666668E-3</v>
      </c>
    </row>
    <row r="36" spans="1:5" x14ac:dyDescent="0.15">
      <c r="A36" s="10">
        <v>45352</v>
      </c>
      <c r="B36" s="11">
        <f>'NVDA Stock Price History '!H40</f>
        <v>0.1295</v>
      </c>
      <c r="C36" s="11">
        <f>'JPM Stock Price History'!H40</f>
        <v>7.8621432417878431E-2</v>
      </c>
      <c r="D36" s="11">
        <f>'JNJ Stock Price History '!H40</f>
        <v>-2.2492739294321291E-2</v>
      </c>
      <c r="E36" s="11">
        <f t="shared" si="0"/>
        <v>1.6666666666666668E-3</v>
      </c>
    </row>
    <row r="37" spans="1:5" x14ac:dyDescent="0.15">
      <c r="A37" s="10">
        <v>45383</v>
      </c>
      <c r="B37" s="11">
        <f>'NVDA Stock Price History '!H41</f>
        <v>-4.3189368770764028E-2</v>
      </c>
      <c r="C37" s="11">
        <f>'JPM Stock Price History'!H41</f>
        <v>-4.1252062603130156E-2</v>
      </c>
      <c r="D37" s="11">
        <f>'JNJ Stock Price History '!H41</f>
        <v>-8.3248795333502379E-2</v>
      </c>
      <c r="E37" s="11">
        <f t="shared" si="0"/>
        <v>1.6666666666666668E-3</v>
      </c>
    </row>
    <row r="38" spans="1:5" x14ac:dyDescent="0.15">
      <c r="A38" s="10">
        <v>45413</v>
      </c>
      <c r="B38" s="11">
        <f>'NVDA Stock Price History '!H42</f>
        <v>0.2885519511048425</v>
      </c>
      <c r="C38" s="11">
        <f>'JPM Stock Price History'!H42</f>
        <v>5.3882560981952383E-2</v>
      </c>
      <c r="D38" s="11">
        <f>'JNJ Stock Price History '!H42</f>
        <v>-1.3916901976603613E-2</v>
      </c>
      <c r="E38" s="11">
        <f t="shared" si="0"/>
        <v>1.6666666666666668E-3</v>
      </c>
    </row>
    <row r="39" spans="1:5" x14ac:dyDescent="0.15">
      <c r="A39" s="10">
        <v>45444</v>
      </c>
      <c r="B39" s="11">
        <f>'NVDA Stock Price History '!H43</f>
        <v>8.7308572434430576E-2</v>
      </c>
      <c r="C39" s="11">
        <f>'JPM Stock Price History'!H43</f>
        <v>-2.471454698235943E-4</v>
      </c>
      <c r="D39" s="11">
        <f>'JNJ Stock Price History '!H43</f>
        <v>-7.4023769100170014E-3</v>
      </c>
      <c r="E39" s="11">
        <f t="shared" si="0"/>
        <v>1.6666666666666668E-3</v>
      </c>
    </row>
    <row r="40" spans="1:5" x14ac:dyDescent="0.15">
      <c r="A40" s="10">
        <v>45474</v>
      </c>
      <c r="B40" s="11">
        <f>'NVDA Stock Price History '!H44</f>
        <v>-5.2239410383089033E-2</v>
      </c>
      <c r="C40" s="11">
        <f>'JPM Stock Price History'!H44</f>
        <v>4.9102741076710747E-2</v>
      </c>
      <c r="D40" s="11">
        <f>'JNJ Stock Price History '!H44</f>
        <v>8.0646265489149049E-2</v>
      </c>
      <c r="E40" s="11">
        <f t="shared" si="0"/>
        <v>1.6666666666666668E-3</v>
      </c>
    </row>
    <row r="41" spans="1:5" x14ac:dyDescent="0.15">
      <c r="A41" s="10">
        <v>45505</v>
      </c>
      <c r="B41" s="11">
        <f>'NVDA Stock Price History '!H45</f>
        <v>1.5655577299412946E-2</v>
      </c>
      <c r="C41" s="11">
        <f>'JPM Stock Price History'!H45</f>
        <v>5.4409005628517935E-2</v>
      </c>
      <c r="D41" s="11">
        <f>'JNJ Stock Price History '!H45</f>
        <v>4.6567390206966333E-2</v>
      </c>
      <c r="E41" s="11">
        <f t="shared" si="0"/>
        <v>1.6666666666666668E-3</v>
      </c>
    </row>
    <row r="42" spans="1:5" x14ac:dyDescent="0.15">
      <c r="A42" s="10">
        <v>45536</v>
      </c>
      <c r="B42" s="11">
        <f>'NVDA Stock Price History '!H46</f>
        <v>4.6806309800879166E-2</v>
      </c>
      <c r="C42" s="11">
        <f>'JPM Stock Price History'!H46</f>
        <v>-5.1461988304093556E-2</v>
      </c>
      <c r="D42" s="11">
        <f>'JNJ Stock Price History '!H46</f>
        <v>-1.9244734931009481E-2</v>
      </c>
      <c r="E42" s="11">
        <f t="shared" si="0"/>
        <v>1.6666666666666668E-3</v>
      </c>
    </row>
    <row r="43" spans="1:5" x14ac:dyDescent="0.15">
      <c r="A43" s="10">
        <v>45566</v>
      </c>
      <c r="B43" s="11">
        <f>'NVDA Stock Price History '!H47</f>
        <v>9.0341655716162816E-2</v>
      </c>
      <c r="C43" s="11">
        <f>'JPM Stock Price History'!H47</f>
        <v>6.2326471996170328E-2</v>
      </c>
      <c r="D43" s="11">
        <f>'JNJ Stock Price History '!H47</f>
        <v>-1.582220033245086E-2</v>
      </c>
      <c r="E43" s="11">
        <f t="shared" si="0"/>
        <v>1.6666666666666668E-3</v>
      </c>
    </row>
    <row r="44" spans="1:5" x14ac:dyDescent="0.15">
      <c r="A44" s="10">
        <v>45597</v>
      </c>
      <c r="B44" s="11">
        <f>'NVDA Stock Price History '!H48</f>
        <v>2.6354862657758066E-2</v>
      </c>
      <c r="C44" s="11">
        <f>'JPM Stock Price History'!H48</f>
        <v>0.11701556629092859</v>
      </c>
      <c r="D44" s="11">
        <f>'JNJ Stock Price History '!H48</f>
        <v>-3.4686760493212239E-2</v>
      </c>
      <c r="E44" s="11">
        <f t="shared" si="0"/>
        <v>1.6666666666666668E-3</v>
      </c>
    </row>
    <row r="45" spans="1:5" x14ac:dyDescent="0.15">
      <c r="A45" s="10">
        <v>45627</v>
      </c>
      <c r="B45" s="11">
        <f>'NVDA Stock Price History '!H49</f>
        <v>-3.270186559101073E-2</v>
      </c>
      <c r="C45" s="11">
        <f>'JPM Stock Price History'!H49</f>
        <v>-3.943097575636146E-2</v>
      </c>
      <c r="D45" s="11">
        <f>'JNJ Stock Price History '!H49</f>
        <v>-6.5460420032310146E-2</v>
      </c>
      <c r="E45" s="11">
        <f t="shared" si="0"/>
        <v>1.6666666666666668E-3</v>
      </c>
    </row>
    <row r="46" spans="1:5" x14ac:dyDescent="0.15">
      <c r="A46" s="10">
        <v>45658</v>
      </c>
      <c r="B46" s="11">
        <f>'NVDA Stock Price History '!H50</f>
        <v>-0.11713235294117652</v>
      </c>
      <c r="C46" s="11">
        <f>'JPM Stock Price History'!H50</f>
        <v>0.10949692844097636</v>
      </c>
      <c r="D46" s="11">
        <f>'JNJ Stock Price History '!H50</f>
        <v>4.7648557460579881E-2</v>
      </c>
      <c r="E46" s="11">
        <f t="shared" si="0"/>
        <v>1.6666666666666668E-3</v>
      </c>
    </row>
    <row r="47" spans="1:5" x14ac:dyDescent="0.15">
      <c r="A47" s="10">
        <v>45689</v>
      </c>
      <c r="B47" s="11">
        <f>'NVDA Stock Price History '!H51</f>
        <v>8.8627450980392167E-2</v>
      </c>
      <c r="C47" s="11">
        <f>'JPM Stock Price History'!H51</f>
        <v>1.0770347171829025E-2</v>
      </c>
      <c r="D47" s="11">
        <f>'JNJ Stock Price History '!H51</f>
        <v>8.5657894736842169E-2</v>
      </c>
      <c r="E47" s="11">
        <f t="shared" si="0"/>
        <v>1.6666666666666668E-3</v>
      </c>
    </row>
    <row r="48" spans="1:5" x14ac:dyDescent="0.15">
      <c r="A48" s="10">
        <v>45717</v>
      </c>
      <c r="B48" s="11">
        <f>'NVDA Stock Price History '!H52</f>
        <v>-0.12250020241276018</v>
      </c>
      <c r="C48" s="11">
        <f>'JPM Stock Price History'!H52</f>
        <v>-7.083333333333329E-2</v>
      </c>
      <c r="D48" s="11">
        <f>'JNJ Stock Price History '!H52</f>
        <v>5.3346265761396424E-3</v>
      </c>
      <c r="E48" s="11">
        <f t="shared" si="0"/>
        <v>1.6666666666666668E-3</v>
      </c>
    </row>
    <row r="49" spans="1:5" x14ac:dyDescent="0.15">
      <c r="A49" s="10">
        <v>45748</v>
      </c>
      <c r="B49" s="11">
        <f>'NVDA Stock Price History '!H53</f>
        <v>3.7784535987466276E-3</v>
      </c>
      <c r="C49" s="11">
        <f>'JPM Stock Price History'!H53</f>
        <v>8.2433435001236493E-3</v>
      </c>
      <c r="D49" s="11">
        <f>'JNJ Stock Price History '!H53</f>
        <v>-2.7499533378958427E-2</v>
      </c>
      <c r="E49" s="11">
        <f t="shared" si="0"/>
        <v>1.6666666666666668E-3</v>
      </c>
    </row>
    <row r="50" spans="1:5" x14ac:dyDescent="0.15">
      <c r="A50" s="10">
        <v>45778</v>
      </c>
      <c r="B50" s="11">
        <f>'NVDA Stock Price History '!H54</f>
        <v>0.19499469402193134</v>
      </c>
      <c r="C50" s="11">
        <f>'JPM Stock Price History'!H54</f>
        <v>8.7135562510294834E-2</v>
      </c>
      <c r="D50" s="11">
        <f>'JNJ Stock Price History '!H54</f>
        <v>1.3548387096774708E-3</v>
      </c>
      <c r="E50" s="11">
        <f t="shared" si="0"/>
        <v>1.6666666666666668E-3</v>
      </c>
    </row>
    <row r="51" spans="1:5" x14ac:dyDescent="0.15">
      <c r="A51" s="10">
        <v>45809</v>
      </c>
      <c r="B51" s="11">
        <f>'NVDA Stock Price History '!H55</f>
        <v>0.16606391615617389</v>
      </c>
      <c r="C51" s="11">
        <f>'JPM Stock Price History'!H55</f>
        <v>0.10223557143943443</v>
      </c>
      <c r="D51" s="11">
        <f>'JNJ Stock Price History '!H55</f>
        <v>-1.1198860693940898E-2</v>
      </c>
      <c r="E51" s="11">
        <f t="shared" si="0"/>
        <v>1.6666666666666668E-3</v>
      </c>
    </row>
    <row r="52" spans="1:5" x14ac:dyDescent="0.15">
      <c r="A52" s="10">
        <v>45839</v>
      </c>
      <c r="B52" s="11">
        <f>'NVDA Stock Price History '!H56</f>
        <v>0.13807665237699157</v>
      </c>
      <c r="C52" s="11">
        <f>'JPM Stock Price History'!H56</f>
        <v>1.8391831963972715E-2</v>
      </c>
      <c r="D52" s="11">
        <f>'JNJ Stock Price History '!H56</f>
        <v>7.6732026143790905E-2</v>
      </c>
      <c r="E52" s="11">
        <f t="shared" si="0"/>
        <v>1.6666666666666668E-3</v>
      </c>
    </row>
    <row r="53" spans="1:5" x14ac:dyDescent="0.15">
      <c r="A53" s="10">
        <v>45870</v>
      </c>
      <c r="B53" s="11">
        <f>'NVDA Stock Price History '!H57</f>
        <v>5.1697397897641111E-4</v>
      </c>
      <c r="C53" s="11">
        <f>'JPM Stock Price History'!H57</f>
        <v>3.7947658402203994E-2</v>
      </c>
      <c r="D53" s="11">
        <f>'JNJ Stock Price History '!H57</f>
        <v>7.064297800338408E-2</v>
      </c>
      <c r="E53" s="11">
        <f t="shared" si="0"/>
        <v>1.6666666666666668E-3</v>
      </c>
    </row>
    <row r="54" spans="1:5" x14ac:dyDescent="0.15">
      <c r="A54" s="10">
        <v>45901</v>
      </c>
      <c r="B54" s="11">
        <f>'NVDA Stock Price History '!H58</f>
        <v>9.7529411764705962E-2</v>
      </c>
      <c r="C54" s="11">
        <f>'JPM Stock Price History'!H58</f>
        <v>5.0522880170518938E-2</v>
      </c>
      <c r="D54" s="11">
        <f>'JNJ Stock Price History '!H58</f>
        <v>4.4796303600608489E-2</v>
      </c>
      <c r="E54" s="11">
        <f t="shared" si="0"/>
        <v>1.6666666666666668E-3</v>
      </c>
    </row>
    <row r="55" spans="1:5" x14ac:dyDescent="0.15">
      <c r="A55" s="10">
        <v>45931</v>
      </c>
      <c r="B55" s="11">
        <f>'NVDA Stock Price History '!H59</f>
        <v>9.3122435759015326E-2</v>
      </c>
      <c r="C55" s="11">
        <f>'JPM Stock Price History'!H59</f>
        <v>-9.0773003790171752E-3</v>
      </c>
      <c r="D55" s="11">
        <f>'JNJ Stock Price History '!H59</f>
        <v>1.5430107526881745E-2</v>
      </c>
      <c r="E55" s="11">
        <f>0.02/12</f>
        <v>1.6666666666666668E-3</v>
      </c>
    </row>
    <row r="56" spans="1:5" x14ac:dyDescent="0.15">
      <c r="A56" s="10">
        <v>45962</v>
      </c>
      <c r="B56" s="11">
        <f>'NVDA Stock Price History '!H60</f>
        <v>-0.14936562860438299</v>
      </c>
      <c r="C56" s="11">
        <f>'JPM Stock Price History'!H60</f>
        <v>6.6881028938906243E-3</v>
      </c>
      <c r="D56" s="11">
        <f>'JNJ Stock Price History '!H60</f>
        <v>9.4814814814814755E-2</v>
      </c>
      <c r="E56" s="11">
        <f t="shared" si="0"/>
        <v>1.6666666666666668E-3</v>
      </c>
    </row>
    <row r="57" spans="1:5" x14ac:dyDescent="0.15">
      <c r="A57" s="10">
        <v>45992</v>
      </c>
      <c r="B57" s="11">
        <f>'NVDA Stock Price History '!H61</f>
        <v>6.717784390020605E-2</v>
      </c>
      <c r="C57" s="11">
        <f>'JPM Stock Price History'!H61</f>
        <v>2.9621345262821661E-2</v>
      </c>
      <c r="D57" s="11">
        <f>'JNJ Stock Price History '!H61</f>
        <v>2.1791767554478867E-3</v>
      </c>
      <c r="E57" s="11">
        <f t="shared" si="0"/>
        <v>1.6666666666666668E-3</v>
      </c>
    </row>
    <row r="58" spans="1:5" x14ac:dyDescent="0.15">
      <c r="A58" s="10">
        <v>46023</v>
      </c>
      <c r="B58" s="11">
        <f>'NVDA Stock Price History '!H62</f>
        <v>6.7951959544879474E-3</v>
      </c>
      <c r="C58" s="11">
        <f>'JPM Stock Price History'!H62</f>
        <v>-5.1503875968992294E-2</v>
      </c>
      <c r="D58" s="11">
        <f>'JNJ Stock Price History '!H62</f>
        <v>9.8781549173194122E-2</v>
      </c>
      <c r="E58" s="11">
        <f t="shared" si="0"/>
        <v>1.6666666666666668E-3</v>
      </c>
    </row>
    <row r="59" spans="1:5" x14ac:dyDescent="0.15">
      <c r="A59" s="10">
        <v>46054</v>
      </c>
      <c r="B59" s="11">
        <f>'NVDA Stock Price History '!H63</f>
        <v>-5.3472222222222178E-2</v>
      </c>
      <c r="C59" s="11">
        <f>'JPM Stock Price History'!H63</f>
        <v>-1.3663535439794943E-2</v>
      </c>
      <c r="D59" s="11">
        <f>'JNJ Stock Price History '!H63</f>
        <v>8.8078135949544556E-2</v>
      </c>
      <c r="E59" s="11">
        <f t="shared" si="0"/>
        <v>1.6666666666666668E-3</v>
      </c>
    </row>
    <row r="60" spans="1:5" x14ac:dyDescent="0.15">
      <c r="A60" s="10">
        <v>46082</v>
      </c>
      <c r="B60" s="11">
        <f>'NVDA Stock Price History '!H64</f>
        <v>-3.485515113422006E-3</v>
      </c>
      <c r="C60" s="11">
        <f>'JPM Stock Price History'!H64</f>
        <v>-2.2048098775481742E-3</v>
      </c>
      <c r="D60" s="11">
        <f>'JNJ Stock Price History '!H64</f>
        <v>-1.9061760102732854E-2</v>
      </c>
      <c r="E60" s="11">
        <f t="shared" si="0"/>
        <v>1.6666666666666668E-3</v>
      </c>
    </row>
    <row r="61" spans="1:5" x14ac:dyDescent="0.15">
      <c r="A61" s="10">
        <v>46113</v>
      </c>
      <c r="B61" s="11">
        <f>'NVDA Stock Price History '!H65</f>
        <v>0.2155681818181818</v>
      </c>
      <c r="C61" s="11">
        <f>'JPM Stock Price History'!H65</f>
        <v>5.4775043163275694E-2</v>
      </c>
      <c r="D61" s="11">
        <f>'JNJ Stock Price History '!H65</f>
        <v>-7.4144951140065182E-2</v>
      </c>
      <c r="E61" s="11">
        <f t="shared" si="0"/>
        <v>1.6666666666666668E-3</v>
      </c>
    </row>
    <row r="62" spans="1:5" x14ac:dyDescent="0.15">
      <c r="A62" s="2" t="s">
        <v>200</v>
      </c>
      <c r="B62" s="12">
        <f>AVERAGE(B2:B61)</f>
        <v>5.413766192269874E-2</v>
      </c>
      <c r="C62" s="12">
        <f>AVERAGE(C2:C61)</f>
        <v>1.4254885853978154E-2</v>
      </c>
      <c r="D62" s="12">
        <f>AVERAGE(D2:D61)</f>
        <v>6.5912364463559447E-3</v>
      </c>
      <c r="E62" s="12">
        <f>AVERAGE(E2:E61)</f>
        <v>1.6666666666666646E-3</v>
      </c>
    </row>
    <row r="63" spans="1:5" x14ac:dyDescent="0.15">
      <c r="A63" s="2" t="s">
        <v>201</v>
      </c>
      <c r="B63" s="12">
        <f>_xlfn.STDEV.S(B2:B61)</f>
        <v>0.14628819831049053</v>
      </c>
      <c r="C63" s="12">
        <f>_xlfn.STDEV.S(C2:C61)</f>
        <v>6.6958887307288065E-2</v>
      </c>
      <c r="D63" s="12">
        <f>_xlfn.STDEV.S(D2:D61)</f>
        <v>4.8880336772488278E-2</v>
      </c>
      <c r="E63" s="12">
        <f>_xlfn.STDEV.S(E2:E61)</f>
        <v>2.1867034402379049E-18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8D5-D4F2-504C-B3EA-426A3A95602A}">
  <sheetPr codeName="Sheet9"/>
  <dimension ref="A1:S63"/>
  <sheetViews>
    <sheetView topLeftCell="H1" zoomScale="120" zoomScaleNormal="120" workbookViewId="0">
      <selection activeCell="E10" sqref="E10"/>
    </sheetView>
  </sheetViews>
  <sheetFormatPr baseColWidth="10" defaultColWidth="10.83203125" defaultRowHeight="14" x14ac:dyDescent="0.15"/>
  <cols>
    <col min="1" max="1" width="15.6640625" style="2" bestFit="1" customWidth="1"/>
    <col min="2" max="6" width="10.83203125" style="2"/>
    <col min="7" max="7" width="15.6640625" style="2" bestFit="1" customWidth="1"/>
    <col min="8" max="8" width="24.1640625" style="2" bestFit="1" customWidth="1"/>
    <col min="9" max="9" width="12.83203125" style="2" bestFit="1" customWidth="1"/>
    <col min="10" max="10" width="13.5" style="2" bestFit="1" customWidth="1"/>
    <col min="11" max="11" width="12.83203125" style="2" bestFit="1" customWidth="1"/>
    <col min="12" max="18" width="11.6640625" style="2" bestFit="1" customWidth="1"/>
    <col min="19" max="16384" width="10.83203125" style="2"/>
  </cols>
  <sheetData>
    <row r="1" spans="1:19" x14ac:dyDescent="0.15">
      <c r="A1" s="3" t="s">
        <v>196</v>
      </c>
      <c r="B1" s="3" t="s">
        <v>197</v>
      </c>
      <c r="C1" s="3" t="s">
        <v>198</v>
      </c>
      <c r="D1" s="3" t="s">
        <v>199</v>
      </c>
      <c r="E1" s="3" t="s">
        <v>216</v>
      </c>
    </row>
    <row r="2" spans="1:19" x14ac:dyDescent="0.15">
      <c r="A2" s="10">
        <v>44317</v>
      </c>
      <c r="B2" s="11">
        <f>'NVDA Stock Price History '!H6</f>
        <v>7.3364177131526612E-2</v>
      </c>
      <c r="C2" s="11">
        <f>'JPM Stock Price History'!H6</f>
        <v>6.0639328382305555E-2</v>
      </c>
      <c r="D2" s="11">
        <f>'JNJ Stock Price History '!H6</f>
        <v>3.4535452322738421E-2</v>
      </c>
      <c r="E2" s="11">
        <f t="shared" ref="E2:E61" si="0">0.02/12</f>
        <v>1.6666666666666668E-3</v>
      </c>
      <c r="G2" s="15"/>
      <c r="H2" s="3" t="s">
        <v>197</v>
      </c>
      <c r="I2" s="3" t="s">
        <v>198</v>
      </c>
      <c r="J2" s="3" t="s">
        <v>199</v>
      </c>
      <c r="K2" s="3" t="s">
        <v>216</v>
      </c>
    </row>
    <row r="3" spans="1:19" x14ac:dyDescent="0.15">
      <c r="A3" s="10">
        <v>44348</v>
      </c>
      <c r="B3" s="11">
        <f>'NVDA Stock Price History '!H7</f>
        <v>0.22925629993853722</v>
      </c>
      <c r="C3" s="11">
        <f>'JPM Stock Price History'!H7</f>
        <v>-6.2277687345511618E-2</v>
      </c>
      <c r="D3" s="11">
        <f>'JNJ Stock Price History '!H7</f>
        <v>-3.1795474581251815E-2</v>
      </c>
      <c r="E3" s="11">
        <f t="shared" si="0"/>
        <v>1.6666666666666668E-3</v>
      </c>
      <c r="G3" s="13" t="s">
        <v>197</v>
      </c>
      <c r="H3" s="30">
        <f t="array" ref="H3:K6">MMULT(TRANSPOSE(B2:E61-B62:E62),(B2:E61-B62:E62)/(60-1))</f>
        <v>2.1400236964929421E-2</v>
      </c>
      <c r="I3" s="30">
        <v>3.656602371402775E-3</v>
      </c>
      <c r="J3" s="30">
        <v>-1.0866274174415934E-3</v>
      </c>
      <c r="K3" s="30">
        <v>2.0312542382209128E-35</v>
      </c>
    </row>
    <row r="4" spans="1:19" x14ac:dyDescent="0.15">
      <c r="A4" s="10">
        <v>44378</v>
      </c>
      <c r="B4" s="11">
        <f>'NVDA Stock Price History '!H8</f>
        <v>-3.1296572280178792E-2</v>
      </c>
      <c r="C4" s="11">
        <f>'JPM Stock Price History'!H8</f>
        <v>-2.8670165109432932E-2</v>
      </c>
      <c r="D4" s="11">
        <f>'JNJ Stock Price History '!H8</f>
        <v>4.5283476994051108E-2</v>
      </c>
      <c r="E4" s="11">
        <f t="shared" si="0"/>
        <v>1.6666666666666668E-3</v>
      </c>
      <c r="G4" s="13" t="s">
        <v>198</v>
      </c>
      <c r="H4" s="30">
        <v>3.6566023714027745E-3</v>
      </c>
      <c r="I4" s="30">
        <v>4.4834925894301015E-3</v>
      </c>
      <c r="J4" s="30">
        <v>5.4396489181109597E-4</v>
      </c>
      <c r="K4" s="30">
        <v>-3.197344634236622E-36</v>
      </c>
    </row>
    <row r="5" spans="1:19" x14ac:dyDescent="0.15">
      <c r="A5" s="10">
        <v>44409</v>
      </c>
      <c r="B5" s="11">
        <f>'NVDA Stock Price History '!H9</f>
        <v>0.13654822335025388</v>
      </c>
      <c r="C5" s="11">
        <f>'JPM Stock Price History'!H9</f>
        <v>5.2094981253699844E-2</v>
      </c>
      <c r="D5" s="11">
        <f>'JNJ Stock Price History '!H9</f>
        <v>3.8267524786919265E-3</v>
      </c>
      <c r="E5" s="11">
        <f t="shared" si="0"/>
        <v>1.6666666666666668E-3</v>
      </c>
      <c r="G5" s="13" t="s">
        <v>199</v>
      </c>
      <c r="H5" s="30">
        <v>-1.0866274174415934E-3</v>
      </c>
      <c r="I5" s="30">
        <v>5.4396489181109597E-4</v>
      </c>
      <c r="J5" s="30">
        <v>2.3892873229918702E-3</v>
      </c>
      <c r="K5" s="30">
        <v>6.394689268473244E-36</v>
      </c>
    </row>
    <row r="6" spans="1:19" x14ac:dyDescent="0.15">
      <c r="A6" s="10">
        <v>44440</v>
      </c>
      <c r="B6" s="11">
        <f>'NVDA Stock Price History '!H10</f>
        <v>-7.8701645175633606E-2</v>
      </c>
      <c r="C6" s="11">
        <f>'JPM Stock Price History'!H10</f>
        <v>2.1657720634128068E-2</v>
      </c>
      <c r="D6" s="11">
        <f>'JNJ Stock Price History '!H10</f>
        <v>-6.5934065934065963E-2</v>
      </c>
      <c r="E6" s="11">
        <f t="shared" si="0"/>
        <v>1.6666666666666668E-3</v>
      </c>
      <c r="G6" s="14" t="s">
        <v>216</v>
      </c>
      <c r="H6" s="31">
        <v>7.5231638452626401E-36</v>
      </c>
      <c r="I6" s="31">
        <v>-1.0156271191104564E-35</v>
      </c>
      <c r="J6" s="31">
        <v>6.018531076210112E-36</v>
      </c>
      <c r="K6" s="31">
        <v>4.7816719355482861E-36</v>
      </c>
    </row>
    <row r="7" spans="1:19" x14ac:dyDescent="0.15">
      <c r="A7" s="10">
        <v>44470</v>
      </c>
      <c r="B7" s="11">
        <f>'NVDA Stock Price History '!H11</f>
        <v>0.23228915662650604</v>
      </c>
      <c r="C7" s="11">
        <f>'JPM Stock Price History'!H11</f>
        <v>3.5914634146341377E-2</v>
      </c>
      <c r="D7" s="11">
        <f>'JNJ Stock Price History '!H11</f>
        <v>8.3575806351760939E-3</v>
      </c>
      <c r="E7" s="11">
        <f t="shared" si="0"/>
        <v>1.6666666666666668E-3</v>
      </c>
    </row>
    <row r="8" spans="1:19" x14ac:dyDescent="0.15">
      <c r="A8" s="10">
        <v>44501</v>
      </c>
      <c r="B8" s="11">
        <f>'NVDA Stock Price History '!H12</f>
        <v>0.27407407407407414</v>
      </c>
      <c r="C8" s="11">
        <f>'JPM Stock Price History'!H12</f>
        <v>-7.6784468728202632E-2</v>
      </c>
      <c r="D8" s="11">
        <f>'JNJ Stock Price History '!H12</f>
        <v>-4.4312331453787629E-2</v>
      </c>
      <c r="E8" s="11">
        <f t="shared" si="0"/>
        <v>1.6666666666666668E-3</v>
      </c>
    </row>
    <row r="9" spans="1:19" x14ac:dyDescent="0.15">
      <c r="A9" s="10">
        <v>44531</v>
      </c>
      <c r="B9" s="11">
        <f>'NVDA Stock Price History '!H13</f>
        <v>-0.11468994581577359</v>
      </c>
      <c r="C9" s="11">
        <f>'JPM Stock Price History'!H13</f>
        <v>-1.645962732919258E-2</v>
      </c>
      <c r="D9" s="11">
        <f>'JNJ Stock Price History '!H13</f>
        <v>9.0451300356960723E-2</v>
      </c>
      <c r="E9" s="11">
        <f t="shared" si="0"/>
        <v>1.6666666666666668E-3</v>
      </c>
    </row>
    <row r="10" spans="1:19" x14ac:dyDescent="0.15">
      <c r="A10" s="10">
        <v>44562</v>
      </c>
      <c r="B10" s="11">
        <f>'NVDA Stock Price History '!H14</f>
        <v>-0.17873910127431261</v>
      </c>
      <c r="C10" s="11">
        <f>'JPM Stock Price History'!H14</f>
        <v>-7.0436632053046525E-2</v>
      </c>
      <c r="D10" s="11">
        <f>'JNJ Stock Price History '!H14</f>
        <v>1.2220198578226801E-2</v>
      </c>
      <c r="E10" s="11">
        <f t="shared" si="0"/>
        <v>1.6666666666666668E-3</v>
      </c>
      <c r="G10" s="7"/>
      <c r="H10" s="7"/>
      <c r="I10" s="8">
        <v>0.9</v>
      </c>
      <c r="J10" s="8">
        <v>0.8</v>
      </c>
      <c r="K10" s="8">
        <v>0.7</v>
      </c>
      <c r="L10" s="8">
        <v>0.6</v>
      </c>
      <c r="M10" s="8">
        <v>0.5</v>
      </c>
      <c r="N10" s="8">
        <v>0.4</v>
      </c>
      <c r="O10" s="8">
        <v>0.3</v>
      </c>
      <c r="P10" s="8">
        <v>0.2</v>
      </c>
      <c r="Q10" s="8">
        <v>0.1</v>
      </c>
      <c r="R10" s="7"/>
    </row>
    <row r="11" spans="1:19" x14ac:dyDescent="0.15">
      <c r="A11" s="10">
        <v>44593</v>
      </c>
      <c r="B11" s="11">
        <f>'NVDA Stock Price History '!H15</f>
        <v>-2.8286852589641465E-2</v>
      </c>
      <c r="C11" s="11">
        <f>'JPM Stock Price History'!H15</f>
        <v>-4.633801869661703E-2</v>
      </c>
      <c r="D11" s="11">
        <f>'JNJ Stock Price History '!H15</f>
        <v>-4.1749155700477554E-2</v>
      </c>
      <c r="E11" s="11">
        <f t="shared" si="0"/>
        <v>1.6666666666666668E-3</v>
      </c>
      <c r="G11" s="9" t="s">
        <v>202</v>
      </c>
      <c r="H11" s="9" t="s">
        <v>203</v>
      </c>
      <c r="I11" s="9" t="s">
        <v>204</v>
      </c>
      <c r="J11" s="9" t="s">
        <v>205</v>
      </c>
      <c r="K11" s="9" t="s">
        <v>206</v>
      </c>
      <c r="L11" s="9" t="s">
        <v>207</v>
      </c>
      <c r="M11" s="9" t="s">
        <v>208</v>
      </c>
      <c r="N11" s="9" t="s">
        <v>209</v>
      </c>
      <c r="O11" s="9" t="s">
        <v>210</v>
      </c>
      <c r="P11" s="9" t="s">
        <v>211</v>
      </c>
      <c r="Q11" s="9" t="s">
        <v>212</v>
      </c>
      <c r="R11" s="9" t="s">
        <v>213</v>
      </c>
      <c r="S11" s="9" t="s">
        <v>217</v>
      </c>
    </row>
    <row r="12" spans="1:19" x14ac:dyDescent="0.15">
      <c r="A12" s="10">
        <v>44621</v>
      </c>
      <c r="B12" s="11">
        <f>'NVDA Stock Price History '!H16</f>
        <v>0.12350761630300536</v>
      </c>
      <c r="C12" s="11">
        <f>'JPM Stock Price History'!H16</f>
        <v>-2.6563838903170517E-2</v>
      </c>
      <c r="D12" s="11">
        <f>'JNJ Stock Price History '!H16</f>
        <v>8.7033856722276731E-2</v>
      </c>
      <c r="E12" s="11">
        <f t="shared" si="0"/>
        <v>1.6666666666666668E-3</v>
      </c>
      <c r="G12" s="16" t="s">
        <v>197</v>
      </c>
      <c r="H12" s="17">
        <v>0</v>
      </c>
      <c r="I12" s="17">
        <f>I$10*$H12+(1-I$10)*$R12</f>
        <v>8.093608268292235E-2</v>
      </c>
      <c r="J12" s="17">
        <f t="shared" ref="J12:Q14" si="1">J$10*$H12+(1-J$10)*$R12</f>
        <v>0.1618721653658447</v>
      </c>
      <c r="K12" s="17">
        <f t="shared" si="1"/>
        <v>0.24280824804876716</v>
      </c>
      <c r="L12" s="17">
        <f t="shared" si="1"/>
        <v>0.32374433073168951</v>
      </c>
      <c r="M12" s="17">
        <f t="shared" si="1"/>
        <v>0.40468041341461186</v>
      </c>
      <c r="N12" s="17">
        <f t="shared" si="1"/>
        <v>0.48561649609753421</v>
      </c>
      <c r="O12" s="17">
        <f t="shared" si="1"/>
        <v>0.56655257878045662</v>
      </c>
      <c r="P12" s="17">
        <f t="shared" si="1"/>
        <v>0.64748866146337902</v>
      </c>
      <c r="Q12" s="17">
        <f t="shared" si="1"/>
        <v>0.72842474414630132</v>
      </c>
      <c r="R12" s="17">
        <v>0.80936082682922372</v>
      </c>
      <c r="S12" s="17">
        <v>0.37765947908451569</v>
      </c>
    </row>
    <row r="13" spans="1:19" x14ac:dyDescent="0.15">
      <c r="A13" s="10">
        <v>44652</v>
      </c>
      <c r="B13" s="11">
        <f>'NVDA Stock Price History '!H17</f>
        <v>-0.32249817384952517</v>
      </c>
      <c r="C13" s="11">
        <f>'JPM Stock Price History'!H17</f>
        <v>-0.1312954876273654</v>
      </c>
      <c r="D13" s="11">
        <f>'JNJ Stock Price History '!H17</f>
        <v>1.926009601807397E-2</v>
      </c>
      <c r="E13" s="11">
        <f t="shared" si="0"/>
        <v>1.6666666666666668E-3</v>
      </c>
      <c r="G13" s="2" t="s">
        <v>198</v>
      </c>
      <c r="H13" s="18">
        <v>0</v>
      </c>
      <c r="I13" s="18">
        <f t="shared" ref="I13:Q15" si="2">I$10*$H13+(1-I$10)*$R13</f>
        <v>3.4551506948278472E-2</v>
      </c>
      <c r="J13" s="18">
        <f t="shared" si="1"/>
        <v>6.9103013896556945E-2</v>
      </c>
      <c r="K13" s="18">
        <f t="shared" si="1"/>
        <v>0.10365452084483547</v>
      </c>
      <c r="L13" s="18">
        <f t="shared" si="1"/>
        <v>0.13820602779311394</v>
      </c>
      <c r="M13" s="18">
        <f t="shared" si="1"/>
        <v>0.17275753474139241</v>
      </c>
      <c r="N13" s="18">
        <f t="shared" si="1"/>
        <v>0.20730904168967088</v>
      </c>
      <c r="O13" s="18">
        <f t="shared" si="1"/>
        <v>0.24186054863794937</v>
      </c>
      <c r="P13" s="18">
        <f t="shared" si="1"/>
        <v>0.27641205558622789</v>
      </c>
      <c r="Q13" s="18">
        <f t="shared" si="1"/>
        <v>0.31096356253450635</v>
      </c>
      <c r="R13" s="18">
        <v>0.34551506948278482</v>
      </c>
      <c r="S13" s="18">
        <v>0.16122242647107796</v>
      </c>
    </row>
    <row r="14" spans="1:19" x14ac:dyDescent="0.15">
      <c r="A14" s="10">
        <v>44682</v>
      </c>
      <c r="B14" s="11">
        <f>'NVDA Stock Price History '!H18</f>
        <v>7.0118662351673442E-3</v>
      </c>
      <c r="C14" s="11">
        <f>'JPM Stock Price History'!H18</f>
        <v>0.10301968635301964</v>
      </c>
      <c r="D14" s="11">
        <f>'JNJ Stock Price History '!H18</f>
        <v>-5.2086219316229716E-3</v>
      </c>
      <c r="E14" s="11">
        <f t="shared" si="0"/>
        <v>1.6666666666666668E-3</v>
      </c>
      <c r="G14" s="2" t="s">
        <v>199</v>
      </c>
      <c r="H14" s="18">
        <v>0</v>
      </c>
      <c r="I14" s="18">
        <f t="shared" si="2"/>
        <v>9.8822052812762906E-2</v>
      </c>
      <c r="J14" s="18">
        <f t="shared" si="1"/>
        <v>0.19764410562552581</v>
      </c>
      <c r="K14" s="18">
        <f t="shared" si="1"/>
        <v>0.29646615843828883</v>
      </c>
      <c r="L14" s="18">
        <f t="shared" si="1"/>
        <v>0.39528821125105174</v>
      </c>
      <c r="M14" s="18">
        <f t="shared" si="1"/>
        <v>0.49411026406381464</v>
      </c>
      <c r="N14" s="18">
        <f t="shared" si="1"/>
        <v>0.59293231687657755</v>
      </c>
      <c r="O14" s="18">
        <f t="shared" si="1"/>
        <v>0.69175436968934045</v>
      </c>
      <c r="P14" s="18">
        <f t="shared" si="1"/>
        <v>0.79057642250210347</v>
      </c>
      <c r="Q14" s="18">
        <f t="shared" si="1"/>
        <v>0.88939847531486638</v>
      </c>
      <c r="R14" s="18">
        <v>0.98822052812762928</v>
      </c>
      <c r="S14" s="18">
        <v>0.46111809690710714</v>
      </c>
    </row>
    <row r="15" spans="1:19" x14ac:dyDescent="0.15">
      <c r="A15" s="10">
        <v>44713</v>
      </c>
      <c r="B15" s="11">
        <f>'NVDA Stock Price History '!H19</f>
        <v>-0.19017094017094011</v>
      </c>
      <c r="C15" s="11">
        <f>'JPM Stock Price History'!H19</f>
        <v>-0.1524798675397005</v>
      </c>
      <c r="D15" s="11">
        <f>'JNJ Stock Price History '!H19</f>
        <v>-9.1543399385990223E-3</v>
      </c>
      <c r="E15" s="11">
        <f t="shared" si="0"/>
        <v>1.6666666666666668E-3</v>
      </c>
      <c r="G15" s="15" t="s">
        <v>216</v>
      </c>
      <c r="H15" s="19">
        <v>1</v>
      </c>
      <c r="I15" s="20">
        <f t="shared" si="2"/>
        <v>0.7856903590237817</v>
      </c>
      <c r="J15" s="20">
        <f t="shared" si="2"/>
        <v>0.57138071804756341</v>
      </c>
      <c r="K15" s="20">
        <f t="shared" si="2"/>
        <v>0.35707107707134483</v>
      </c>
      <c r="L15" s="20">
        <f t="shared" si="2"/>
        <v>0.14276143609512648</v>
      </c>
      <c r="M15" s="20">
        <f t="shared" si="2"/>
        <v>-7.1548204881091815E-2</v>
      </c>
      <c r="N15" s="20">
        <f t="shared" si="2"/>
        <v>-0.28585784585731011</v>
      </c>
      <c r="O15" s="20">
        <f t="shared" si="2"/>
        <v>-0.50016748683352841</v>
      </c>
      <c r="P15" s="20">
        <f t="shared" si="2"/>
        <v>-0.71447712780974704</v>
      </c>
      <c r="Q15" s="20">
        <f t="shared" si="2"/>
        <v>-0.92878676878596533</v>
      </c>
      <c r="R15" s="20">
        <v>-1.1430964097621836</v>
      </c>
      <c r="S15" s="20">
        <v>0</v>
      </c>
    </row>
    <row r="16" spans="1:19" x14ac:dyDescent="0.15">
      <c r="A16" s="10">
        <v>44743</v>
      </c>
      <c r="B16" s="11">
        <f>'NVDA Stock Price History '!H20</f>
        <v>0.21879194630872481</v>
      </c>
      <c r="C16" s="11">
        <f>'JPM Stock Price History'!H20</f>
        <v>2.4056813138038115E-2</v>
      </c>
      <c r="D16" s="11">
        <f>'JNJ Stock Price History '!H20</f>
        <v>-1.6511693434770238E-2</v>
      </c>
      <c r="E16" s="11">
        <f t="shared" si="0"/>
        <v>1.6666666666666668E-3</v>
      </c>
      <c r="G16" s="7" t="s">
        <v>214</v>
      </c>
      <c r="H16" s="11">
        <f t="shared" ref="H16:M16" si="3">SUM(H12:H15)</f>
        <v>1</v>
      </c>
      <c r="I16" s="11">
        <f t="shared" si="3"/>
        <v>1.0000000014677455</v>
      </c>
      <c r="J16" s="11">
        <f t="shared" si="3"/>
        <v>1.000000002935491</v>
      </c>
      <c r="K16" s="11">
        <f t="shared" si="3"/>
        <v>1.0000000044032362</v>
      </c>
      <c r="L16" s="11">
        <f t="shared" si="3"/>
        <v>1.0000000058709817</v>
      </c>
      <c r="M16" s="11">
        <f t="shared" si="3"/>
        <v>1.0000000073387272</v>
      </c>
      <c r="N16" s="11">
        <f t="shared" ref="N16:S16" si="4">SUM(N12:N15)</f>
        <v>1.0000000088064724</v>
      </c>
      <c r="O16" s="11">
        <f t="shared" si="4"/>
        <v>1.0000000102742179</v>
      </c>
      <c r="P16" s="11">
        <f t="shared" si="4"/>
        <v>1.0000000117419634</v>
      </c>
      <c r="Q16" s="11">
        <f t="shared" si="4"/>
        <v>1.0000000132097089</v>
      </c>
      <c r="R16" s="11">
        <f t="shared" si="4"/>
        <v>1.0000000146774544</v>
      </c>
      <c r="S16" s="11">
        <f t="shared" si="4"/>
        <v>1.0000000024627007</v>
      </c>
    </row>
    <row r="17" spans="1:19" x14ac:dyDescent="0.15">
      <c r="A17" s="10">
        <v>44774</v>
      </c>
      <c r="B17" s="11">
        <f>'NVDA Stock Price History '!H21</f>
        <v>-0.16996699669966997</v>
      </c>
      <c r="C17" s="11">
        <f>'JPM Stock Price History'!H21</f>
        <v>-6.724890829694288E-3</v>
      </c>
      <c r="D17" s="11">
        <f>'JNJ Stock Price History '!H21</f>
        <v>-7.3663661939484329E-2</v>
      </c>
      <c r="E17" s="11">
        <f t="shared" si="0"/>
        <v>1.6666666666666668E-3</v>
      </c>
      <c r="G17" s="7" t="s">
        <v>200</v>
      </c>
      <c r="H17" s="11" cm="1">
        <f t="array" ref="H17">SUM(TRANSPOSE(H12:H15)*$B$62:$E$62)</f>
        <v>1.6666666666666646E-3</v>
      </c>
      <c r="I17" s="11" cm="1">
        <f t="array" ref="I17">SUM(TRANSPOSE(I12:I15)*$B$62:$E$62)</f>
        <v>6.8350615171757813E-3</v>
      </c>
      <c r="J17" s="11" cm="1">
        <f t="array" ref="J17">SUM(TRANSPOSE(J12:J15)*$B$62:$E$62)</f>
        <v>1.2003456367684897E-2</v>
      </c>
      <c r="K17" s="11">
        <f t="array" ref="K17">SUM(TRANSPOSE(K12:K15)*$B$62:$E$62)</f>
        <v>1.717185121819402E-2</v>
      </c>
      <c r="L17" s="11">
        <f t="array" ref="L17">SUM(TRANSPOSE(L12:L15)*$B$62:$E$62)</f>
        <v>2.2340246068703131E-2</v>
      </c>
      <c r="M17" s="11">
        <f t="array" ref="M17">SUM(TRANSPOSE(M12:M15)*$B$62:$E$62)</f>
        <v>2.7508640919212252E-2</v>
      </c>
      <c r="N17" s="11">
        <f t="array" ref="N17">SUM(TRANSPOSE(N12:N15)*$B$62:$E$62)</f>
        <v>3.267703576972137E-2</v>
      </c>
      <c r="O17" s="11">
        <f t="array" ref="O17">SUM(TRANSPOSE(O12:O15)*$B$62:$E$62)</f>
        <v>3.7845430620230498E-2</v>
      </c>
      <c r="P17" s="11">
        <f t="array" ref="P17">SUM(TRANSPOSE(P12:P15)*$B$62:$E$62)</f>
        <v>4.3013825470739599E-2</v>
      </c>
      <c r="Q17" s="11">
        <f t="array" ref="Q17">SUM(TRANSPOSE(Q12:Q15)*$B$62:$E$62)</f>
        <v>4.818222032124872E-2</v>
      </c>
      <c r="R17" s="11">
        <f t="array" ref="R17">SUM(TRANSPOSE(R12:R15)*$B$62:$E$62)</f>
        <v>5.3350615171757834E-2</v>
      </c>
      <c r="S17" s="11">
        <f t="array" ref="S17">SUM(TRANSPOSE(S12:S15)*$B$62:$E$62)</f>
        <v>2.5783146893435045E-2</v>
      </c>
    </row>
    <row r="18" spans="1:19" x14ac:dyDescent="0.15">
      <c r="A18" s="10">
        <v>44805</v>
      </c>
      <c r="B18" s="11">
        <f>'NVDA Stock Price History '!H22</f>
        <v>-0.14567206192821958</v>
      </c>
      <c r="C18" s="11">
        <f>'JPM Stock Price History'!H22</f>
        <v>-7.7588489716656425E-2</v>
      </c>
      <c r="D18" s="11">
        <f>'JNJ Stock Price History '!H22</f>
        <v>1.1579664375503155E-2</v>
      </c>
      <c r="E18" s="11">
        <f t="shared" si="0"/>
        <v>1.6666666666666668E-3</v>
      </c>
      <c r="G18" s="7" t="s">
        <v>215</v>
      </c>
      <c r="H18" s="11">
        <f t="array" ref="H18">SQRT(MMULT(MMULT(TRANSPOSE(H12:H15),$H$3:$K$6),H12:H15))</f>
        <v>2.1867034402379042E-18</v>
      </c>
      <c r="I18" s="11">
        <f t="array" ref="I18">SQRT(MMULT(MMULT(TRANSPOSE(I12:I15),$H$3:$K$6),I12:I15))</f>
        <v>1.3253478305518667E-2</v>
      </c>
      <c r="J18" s="11">
        <f t="array" ref="J18">SQRT(MMULT(MMULT(TRANSPOSE(J12:J15),$H$3:$K$6),J12:J15))</f>
        <v>2.6506956611037333E-2</v>
      </c>
      <c r="K18" s="11">
        <f t="array" ref="K18">SQRT(MMULT(MMULT(TRANSPOSE(K12:K15),$H$3:$K$6),K12:K15))</f>
        <v>3.9760434916556009E-2</v>
      </c>
      <c r="L18" s="11">
        <f t="array" ref="L18">SQRT(MMULT(MMULT(TRANSPOSE(L12:L15),$H$3:$K$6),L12:L15))</f>
        <v>5.3013913222074681E-2</v>
      </c>
      <c r="M18" s="11">
        <f t="array" ref="M18">SQRT(MMULT(MMULT(TRANSPOSE(M12:M15),$H$3:$K$6),M12:M15))</f>
        <v>6.6267391527593353E-2</v>
      </c>
      <c r="N18" s="11">
        <f t="array" ref="N18">SQRT(MMULT(MMULT(TRANSPOSE(N12:N15),$H$3:$K$6),N12:N15))</f>
        <v>7.9520869833112004E-2</v>
      </c>
      <c r="O18" s="11">
        <f t="array" ref="O18">SQRT(MMULT(MMULT(TRANSPOSE(O12:O15),$H$3:$K$6),O12:O15))</f>
        <v>9.2774348138630683E-2</v>
      </c>
      <c r="P18" s="11">
        <f t="array" ref="P18">SQRT(MMULT(MMULT(TRANSPOSE(P12:P15),$H$3:$K$6),P12:P15))</f>
        <v>0.10602782644414936</v>
      </c>
      <c r="Q18" s="11">
        <f t="array" ref="Q18">SQRT(MMULT(MMULT(TRANSPOSE(Q12:Q15),$H$3:$K$6),Q12:Q15))</f>
        <v>0.11928130474966804</v>
      </c>
      <c r="R18" s="11">
        <f t="array" ref="R18">SQRT(MMULT(MMULT(TRANSPOSE(R12:R15),$H$3:$K$6),R12:R15))</f>
        <v>0.13253478305518671</v>
      </c>
      <c r="S18" s="11">
        <f t="array" ref="S18">SQRT(MMULT(MMULT(TRANSPOSE(S12:S15),$H$3:$K$6),S12:S15))</f>
        <v>6.1842653203142861E-2</v>
      </c>
    </row>
    <row r="19" spans="1:19" x14ac:dyDescent="0.15">
      <c r="A19" s="10">
        <v>44835</v>
      </c>
      <c r="B19" s="11">
        <f>'NVDA Stock Price History '!H23</f>
        <v>9.3117408906882623E-2</v>
      </c>
      <c r="C19" s="11">
        <f>'JPM Stock Price History'!H23</f>
        <v>0.1918197311115318</v>
      </c>
      <c r="D19" s="11">
        <f>'JNJ Stock Price History '!H23</f>
        <v>5.8920202081684872E-2</v>
      </c>
      <c r="E19" s="11">
        <f t="shared" si="0"/>
        <v>1.6666666666666668E-3</v>
      </c>
      <c r="G19" s="2" t="s">
        <v>218</v>
      </c>
      <c r="H19" s="21">
        <f>IFERROR((H17-$H$17)/H18,0)</f>
        <v>0</v>
      </c>
      <c r="I19" s="21">
        <f t="shared" ref="I19:S19" si="5">IFERROR((I17-$H$17)/I18,0)</f>
        <v>0.3899651647188368</v>
      </c>
      <c r="J19" s="21">
        <f t="shared" si="5"/>
        <v>0.38996516471883674</v>
      </c>
      <c r="K19" s="21">
        <f t="shared" si="5"/>
        <v>0.3899651647188368</v>
      </c>
      <c r="L19" s="21">
        <f t="shared" si="5"/>
        <v>0.38996516471883669</v>
      </c>
      <c r="M19" s="21">
        <f t="shared" si="5"/>
        <v>0.38996516471883674</v>
      </c>
      <c r="N19" s="21">
        <f t="shared" si="5"/>
        <v>0.38996516471883685</v>
      </c>
      <c r="O19" s="21">
        <f t="shared" si="5"/>
        <v>0.38996516471883691</v>
      </c>
      <c r="P19" s="21">
        <f t="shared" si="5"/>
        <v>0.38996516471883669</v>
      </c>
      <c r="Q19" s="21">
        <f t="shared" si="5"/>
        <v>0.38996516471883669</v>
      </c>
      <c r="R19" s="21">
        <f t="shared" si="5"/>
        <v>0.38996516471883669</v>
      </c>
      <c r="S19" s="21">
        <f t="shared" si="5"/>
        <v>0.38996516122213809</v>
      </c>
    </row>
    <row r="20" spans="1:19" x14ac:dyDescent="0.15">
      <c r="A20" s="10">
        <v>44866</v>
      </c>
      <c r="B20" s="11">
        <f>'NVDA Stock Price History '!H24</f>
        <v>0.22519913106444614</v>
      </c>
      <c r="C20" s="11">
        <f>'JPM Stock Price History'!H24</f>
        <v>8.914637030030742E-2</v>
      </c>
      <c r="D20" s="11">
        <f>'JNJ Stock Price History '!H24</f>
        <v>2.2635872687578981E-2</v>
      </c>
      <c r="E20" s="11">
        <f t="shared" si="0"/>
        <v>1.6666666666666668E-3</v>
      </c>
    </row>
    <row r="21" spans="1:19" x14ac:dyDescent="0.15">
      <c r="A21" s="10">
        <v>44896</v>
      </c>
      <c r="B21" s="11">
        <f>'NVDA Stock Price History '!H25</f>
        <v>-0.14058823529411768</v>
      </c>
      <c r="C21" s="11">
        <f>'JPM Stock Price History'!H25</f>
        <v>-2.9526704298740863E-2</v>
      </c>
      <c r="D21" s="11">
        <f>'JNJ Stock Price History '!H25</f>
        <v>-1.3128491620111701E-2</v>
      </c>
      <c r="E21" s="11">
        <f t="shared" si="0"/>
        <v>1.6666666666666668E-3</v>
      </c>
    </row>
    <row r="22" spans="1:19" x14ac:dyDescent="0.15">
      <c r="A22" s="10">
        <v>44927</v>
      </c>
      <c r="B22" s="11">
        <f>'NVDA Stock Price History '!H26</f>
        <v>0.31582491582491579</v>
      </c>
      <c r="C22" s="11">
        <f>'JPM Stock Price History'!H26</f>
        <v>3.4900916888494518E-2</v>
      </c>
      <c r="D22" s="11">
        <f>'JNJ Stock Price History '!H26</f>
        <v>-7.2320617620345196E-2</v>
      </c>
      <c r="E22" s="11">
        <f t="shared" si="0"/>
        <v>1.6666666666666668E-3</v>
      </c>
    </row>
    <row r="23" spans="1:19" x14ac:dyDescent="0.15">
      <c r="A23" s="10">
        <v>44958</v>
      </c>
      <c r="B23" s="11">
        <f>'NVDA Stock Price History '!H27</f>
        <v>0.17927882173692217</v>
      </c>
      <c r="C23" s="11">
        <f>'JPM Stock Price History'!H27</f>
        <v>3.7189783662542407E-2</v>
      </c>
      <c r="D23" s="11">
        <f>'JNJ Stock Price History '!H27</f>
        <v>-5.9696913921099562E-2</v>
      </c>
      <c r="E23" s="11">
        <f t="shared" si="0"/>
        <v>1.6666666666666668E-3</v>
      </c>
    </row>
    <row r="24" spans="1:19" x14ac:dyDescent="0.15">
      <c r="A24" s="10">
        <v>44986</v>
      </c>
      <c r="B24" s="11">
        <f>'NVDA Stock Price History '!H28</f>
        <v>0.19793014230271666</v>
      </c>
      <c r="C24" s="11">
        <f>'JPM Stock Price History'!H28</f>
        <v>-8.2969739619985869E-2</v>
      </c>
      <c r="D24" s="11">
        <f>'JNJ Stock Price History '!H28</f>
        <v>1.3005685902882225E-2</v>
      </c>
      <c r="E24" s="11">
        <f t="shared" si="0"/>
        <v>1.6666666666666668E-3</v>
      </c>
    </row>
    <row r="25" spans="1:19" x14ac:dyDescent="0.15">
      <c r="A25" s="10">
        <v>45017</v>
      </c>
      <c r="B25" s="11">
        <f>'NVDA Stock Price History '!H29</f>
        <v>8.7241003271537054E-3</v>
      </c>
      <c r="C25" s="11">
        <f>'JPM Stock Price History'!H29</f>
        <v>6.4121314756369896E-2</v>
      </c>
      <c r="D25" s="11">
        <f>'JNJ Stock Price History '!H29</f>
        <v>5.6469828977089388E-2</v>
      </c>
      <c r="E25" s="11">
        <f t="shared" si="0"/>
        <v>1.6666666666666668E-3</v>
      </c>
    </row>
    <row r="26" spans="1:19" x14ac:dyDescent="0.15">
      <c r="A26" s="10">
        <v>45047</v>
      </c>
      <c r="B26" s="11">
        <f>'NVDA Stock Price History '!H30</f>
        <v>0.35883620689655166</v>
      </c>
      <c r="C26" s="11">
        <f>'JPM Stock Price History'!H30</f>
        <v>-4.6042457472233823E-2</v>
      </c>
      <c r="D26" s="11">
        <f>'JNJ Stock Price History '!H30</f>
        <v>-5.2200488997554965E-2</v>
      </c>
      <c r="E26" s="11">
        <f t="shared" si="0"/>
        <v>1.6666666666666668E-3</v>
      </c>
    </row>
    <row r="27" spans="1:19" x14ac:dyDescent="0.15">
      <c r="A27" s="10">
        <v>45078</v>
      </c>
      <c r="B27" s="11">
        <f>'NVDA Stock Price History '!H31</f>
        <v>9.8986749805144061E-2</v>
      </c>
      <c r="C27" s="11">
        <f>'JPM Stock Price History'!H31</f>
        <v>6.5338411954292311E-2</v>
      </c>
      <c r="D27" s="11">
        <f>'JNJ Stock Price History '!H31</f>
        <v>7.1049566455286775E-2</v>
      </c>
      <c r="E27" s="11">
        <f>0.02/12</f>
        <v>1.6666666666666668E-3</v>
      </c>
    </row>
    <row r="28" spans="1:19" x14ac:dyDescent="0.15">
      <c r="A28" s="10">
        <v>45108</v>
      </c>
      <c r="B28" s="11">
        <f>'NVDA Stock Price History '!H32</f>
        <v>9.9012229539040292E-2</v>
      </c>
      <c r="C28" s="11">
        <f>'JPM Stock Price History'!H32</f>
        <v>8.0511662904439493E-2</v>
      </c>
      <c r="D28" s="11">
        <f>'JNJ Stock Price History '!H32</f>
        <v>1.9410977242302528E-2</v>
      </c>
      <c r="E28" s="11">
        <f t="shared" si="0"/>
        <v>1.6666666666666668E-3</v>
      </c>
    </row>
    <row r="29" spans="1:19" x14ac:dyDescent="0.15">
      <c r="A29" s="10">
        <v>45139</v>
      </c>
      <c r="B29" s="11">
        <f>'NVDA Stock Price History '!H33</f>
        <v>6.2204046491605693E-2</v>
      </c>
      <c r="C29" s="11">
        <f>'JPM Stock Price History'!H33</f>
        <v>-7.0507527154925961E-2</v>
      </c>
      <c r="D29" s="11">
        <f>'JNJ Stock Price History '!H33</f>
        <v>-2.8190178517761601E-2</v>
      </c>
      <c r="E29" s="11">
        <f t="shared" si="0"/>
        <v>1.6666666666666668E-3</v>
      </c>
    </row>
    <row r="30" spans="1:19" x14ac:dyDescent="0.15">
      <c r="A30" s="10">
        <v>45170</v>
      </c>
      <c r="B30" s="11">
        <f>'NVDA Stock Price History '!H34</f>
        <v>-0.12580385852090029</v>
      </c>
      <c r="C30" s="11">
        <f>'JPM Stock Price History'!H34</f>
        <v>-7.3242521733177706E-3</v>
      </c>
      <c r="D30" s="11">
        <f>'JNJ Stock Price History '!H34</f>
        <v>-3.5125758889852483E-2</v>
      </c>
      <c r="E30" s="11">
        <f t="shared" si="0"/>
        <v>1.6666666666666668E-3</v>
      </c>
    </row>
    <row r="31" spans="1:19" x14ac:dyDescent="0.15">
      <c r="A31" s="10">
        <v>45200</v>
      </c>
      <c r="B31" s="11">
        <f>'NVDA Stock Price History '!H35</f>
        <v>-7.3813309107426756E-2</v>
      </c>
      <c r="C31" s="11">
        <f>'JPM Stock Price History'!H35</f>
        <v>-3.9839812193606362E-2</v>
      </c>
      <c r="D31" s="11">
        <f>'JNJ Stock Price History '!H35</f>
        <v>-4.5553982756401906E-2</v>
      </c>
      <c r="E31" s="11">
        <f t="shared" si="0"/>
        <v>1.6666666666666668E-3</v>
      </c>
    </row>
    <row r="32" spans="1:19" x14ac:dyDescent="0.15">
      <c r="A32" s="10">
        <v>45231</v>
      </c>
      <c r="B32" s="11">
        <f>'NVDA Stock Price History '!H36</f>
        <v>0.1440802348336595</v>
      </c>
      <c r="C32" s="11">
        <f>'JPM Stock Price History'!H36</f>
        <v>0.12086175942549381</v>
      </c>
      <c r="D32" s="11">
        <f>'JNJ Stock Price History '!H36</f>
        <v>3.6664655808030022E-2</v>
      </c>
      <c r="E32" s="11">
        <f t="shared" si="0"/>
        <v>1.6666666666666668E-3</v>
      </c>
    </row>
    <row r="33" spans="1:5" x14ac:dyDescent="0.15">
      <c r="A33" s="10">
        <v>45261</v>
      </c>
      <c r="B33" s="11">
        <f>'NVDA Stock Price History '!H37</f>
        <v>6.4259617451106851E-2</v>
      </c>
      <c r="C33" s="11">
        <f>'JPM Stock Price History'!H37</f>
        <v>9.1644204851752037E-2</v>
      </c>
      <c r="D33" s="11">
        <f>'JNJ Stock Price History '!H37</f>
        <v>1.9176681155715378E-3</v>
      </c>
      <c r="E33" s="11">
        <f t="shared" si="0"/>
        <v>1.6666666666666668E-3</v>
      </c>
    </row>
    <row r="34" spans="1:5" x14ac:dyDescent="0.15">
      <c r="A34" s="10">
        <v>45292</v>
      </c>
      <c r="B34" s="11">
        <f>'NVDA Stock Price History '!H38</f>
        <v>0.24959382615759543</v>
      </c>
      <c r="C34" s="11">
        <f>'JPM Stock Price History'!H38</f>
        <v>3.116683423029162E-2</v>
      </c>
      <c r="D34" s="11">
        <f>'JNJ Stock Price History '!H38</f>
        <v>1.2553367743579933E-2</v>
      </c>
      <c r="E34" s="11">
        <f t="shared" si="0"/>
        <v>1.6666666666666668E-3</v>
      </c>
    </row>
    <row r="35" spans="1:5" x14ac:dyDescent="0.15">
      <c r="A35" s="10">
        <v>45323</v>
      </c>
      <c r="B35" s="11">
        <f>'NVDA Stock Price History '!H39</f>
        <v>0.27391304347826084</v>
      </c>
      <c r="C35" s="11">
        <f>'JPM Stock Price History'!H39</f>
        <v>7.152729785763659E-2</v>
      </c>
      <c r="D35" s="11">
        <f>'JNJ Stock Price History '!H39</f>
        <v>2.0359129994941823E-2</v>
      </c>
      <c r="E35" s="11">
        <f t="shared" si="0"/>
        <v>1.6666666666666668E-3</v>
      </c>
    </row>
    <row r="36" spans="1:5" x14ac:dyDescent="0.15">
      <c r="A36" s="10">
        <v>45352</v>
      </c>
      <c r="B36" s="11">
        <f>'NVDA Stock Price History '!H40</f>
        <v>0.1295</v>
      </c>
      <c r="C36" s="11">
        <f>'JPM Stock Price History'!H40</f>
        <v>7.8621432417878431E-2</v>
      </c>
      <c r="D36" s="11">
        <f>'JNJ Stock Price History '!H40</f>
        <v>-2.2492739294321291E-2</v>
      </c>
      <c r="E36" s="11">
        <f t="shared" si="0"/>
        <v>1.6666666666666668E-3</v>
      </c>
    </row>
    <row r="37" spans="1:5" x14ac:dyDescent="0.15">
      <c r="A37" s="10">
        <v>45383</v>
      </c>
      <c r="B37" s="11">
        <f>'NVDA Stock Price History '!H41</f>
        <v>-4.3189368770764028E-2</v>
      </c>
      <c r="C37" s="11">
        <f>'JPM Stock Price History'!H41</f>
        <v>-4.1252062603130156E-2</v>
      </c>
      <c r="D37" s="11">
        <f>'JNJ Stock Price History '!H41</f>
        <v>-8.3248795333502379E-2</v>
      </c>
      <c r="E37" s="11">
        <f t="shared" si="0"/>
        <v>1.6666666666666668E-3</v>
      </c>
    </row>
    <row r="38" spans="1:5" x14ac:dyDescent="0.15">
      <c r="A38" s="10">
        <v>45413</v>
      </c>
      <c r="B38" s="11">
        <f>'NVDA Stock Price History '!H42</f>
        <v>0.2885519511048425</v>
      </c>
      <c r="C38" s="11">
        <f>'JPM Stock Price History'!H42</f>
        <v>5.3882560981952383E-2</v>
      </c>
      <c r="D38" s="11">
        <f>'JNJ Stock Price History '!H42</f>
        <v>-1.3916901976603613E-2</v>
      </c>
      <c r="E38" s="11">
        <f t="shared" si="0"/>
        <v>1.6666666666666668E-3</v>
      </c>
    </row>
    <row r="39" spans="1:5" x14ac:dyDescent="0.15">
      <c r="A39" s="10">
        <v>45444</v>
      </c>
      <c r="B39" s="11">
        <f>'NVDA Stock Price History '!H43</f>
        <v>8.7308572434430576E-2</v>
      </c>
      <c r="C39" s="11">
        <f>'JPM Stock Price History'!H43</f>
        <v>-2.471454698235943E-4</v>
      </c>
      <c r="D39" s="11">
        <f>'JNJ Stock Price History '!H43</f>
        <v>-7.4023769100170014E-3</v>
      </c>
      <c r="E39" s="11">
        <f t="shared" si="0"/>
        <v>1.6666666666666668E-3</v>
      </c>
    </row>
    <row r="40" spans="1:5" x14ac:dyDescent="0.15">
      <c r="A40" s="10">
        <v>45474</v>
      </c>
      <c r="B40" s="11">
        <f>'NVDA Stock Price History '!H44</f>
        <v>-5.2239410383089033E-2</v>
      </c>
      <c r="C40" s="11">
        <f>'JPM Stock Price History'!H44</f>
        <v>4.9102741076710747E-2</v>
      </c>
      <c r="D40" s="11">
        <f>'JNJ Stock Price History '!H44</f>
        <v>8.0646265489149049E-2</v>
      </c>
      <c r="E40" s="11">
        <f t="shared" si="0"/>
        <v>1.6666666666666668E-3</v>
      </c>
    </row>
    <row r="41" spans="1:5" x14ac:dyDescent="0.15">
      <c r="A41" s="10">
        <v>45505</v>
      </c>
      <c r="B41" s="11">
        <f>'NVDA Stock Price History '!H45</f>
        <v>1.5655577299412946E-2</v>
      </c>
      <c r="C41" s="11">
        <f>'JPM Stock Price History'!H45</f>
        <v>5.4409005628517935E-2</v>
      </c>
      <c r="D41" s="11">
        <f>'JNJ Stock Price History '!H45</f>
        <v>4.6567390206966333E-2</v>
      </c>
      <c r="E41" s="11">
        <f t="shared" si="0"/>
        <v>1.6666666666666668E-3</v>
      </c>
    </row>
    <row r="42" spans="1:5" x14ac:dyDescent="0.15">
      <c r="A42" s="10">
        <v>45536</v>
      </c>
      <c r="B42" s="11">
        <f>'NVDA Stock Price History '!H46</f>
        <v>4.6806309800879166E-2</v>
      </c>
      <c r="C42" s="11">
        <f>'JPM Stock Price History'!H46</f>
        <v>-5.1461988304093556E-2</v>
      </c>
      <c r="D42" s="11">
        <f>'JNJ Stock Price History '!H46</f>
        <v>-1.9244734931009481E-2</v>
      </c>
      <c r="E42" s="11">
        <f t="shared" si="0"/>
        <v>1.6666666666666668E-3</v>
      </c>
    </row>
    <row r="43" spans="1:5" x14ac:dyDescent="0.15">
      <c r="A43" s="10">
        <v>45566</v>
      </c>
      <c r="B43" s="11">
        <f>'NVDA Stock Price History '!H47</f>
        <v>9.0341655716162816E-2</v>
      </c>
      <c r="C43" s="11">
        <f>'JPM Stock Price History'!H47</f>
        <v>6.2326471996170328E-2</v>
      </c>
      <c r="D43" s="11">
        <f>'JNJ Stock Price History '!H47</f>
        <v>-1.582220033245086E-2</v>
      </c>
      <c r="E43" s="11">
        <f t="shared" si="0"/>
        <v>1.6666666666666668E-3</v>
      </c>
    </row>
    <row r="44" spans="1:5" x14ac:dyDescent="0.15">
      <c r="A44" s="10">
        <v>45597</v>
      </c>
      <c r="B44" s="11">
        <f>'NVDA Stock Price History '!H48</f>
        <v>2.6354862657758066E-2</v>
      </c>
      <c r="C44" s="11">
        <f>'JPM Stock Price History'!H48</f>
        <v>0.11701556629092859</v>
      </c>
      <c r="D44" s="11">
        <f>'JNJ Stock Price History '!H48</f>
        <v>-3.4686760493212239E-2</v>
      </c>
      <c r="E44" s="11">
        <f t="shared" si="0"/>
        <v>1.6666666666666668E-3</v>
      </c>
    </row>
    <row r="45" spans="1:5" x14ac:dyDescent="0.15">
      <c r="A45" s="10">
        <v>45627</v>
      </c>
      <c r="B45" s="11">
        <f>'NVDA Stock Price History '!H49</f>
        <v>-3.270186559101073E-2</v>
      </c>
      <c r="C45" s="11">
        <f>'JPM Stock Price History'!H49</f>
        <v>-3.943097575636146E-2</v>
      </c>
      <c r="D45" s="11">
        <f>'JNJ Stock Price History '!H49</f>
        <v>-6.5460420032310146E-2</v>
      </c>
      <c r="E45" s="11">
        <f t="shared" si="0"/>
        <v>1.6666666666666668E-3</v>
      </c>
    </row>
    <row r="46" spans="1:5" x14ac:dyDescent="0.15">
      <c r="A46" s="10">
        <v>45658</v>
      </c>
      <c r="B46" s="11">
        <f>'NVDA Stock Price History '!H50</f>
        <v>-0.11713235294117652</v>
      </c>
      <c r="C46" s="11">
        <f>'JPM Stock Price History'!H50</f>
        <v>0.10949692844097636</v>
      </c>
      <c r="D46" s="11">
        <f>'JNJ Stock Price History '!H50</f>
        <v>4.7648557460579881E-2</v>
      </c>
      <c r="E46" s="11">
        <f t="shared" si="0"/>
        <v>1.6666666666666668E-3</v>
      </c>
    </row>
    <row r="47" spans="1:5" x14ac:dyDescent="0.15">
      <c r="A47" s="10">
        <v>45689</v>
      </c>
      <c r="B47" s="11">
        <f>'NVDA Stock Price History '!H51</f>
        <v>8.8627450980392167E-2</v>
      </c>
      <c r="C47" s="11">
        <f>'JPM Stock Price History'!H51</f>
        <v>1.0770347171829025E-2</v>
      </c>
      <c r="D47" s="11">
        <f>'JNJ Stock Price History '!H51</f>
        <v>8.5657894736842169E-2</v>
      </c>
      <c r="E47" s="11">
        <f t="shared" si="0"/>
        <v>1.6666666666666668E-3</v>
      </c>
    </row>
    <row r="48" spans="1:5" x14ac:dyDescent="0.15">
      <c r="A48" s="10">
        <v>45717</v>
      </c>
      <c r="B48" s="11">
        <f>'NVDA Stock Price History '!H52</f>
        <v>-0.12250020241276018</v>
      </c>
      <c r="C48" s="11">
        <f>'JPM Stock Price History'!H52</f>
        <v>-7.083333333333329E-2</v>
      </c>
      <c r="D48" s="11">
        <f>'JNJ Stock Price History '!H52</f>
        <v>5.3346265761396424E-3</v>
      </c>
      <c r="E48" s="11">
        <f t="shared" si="0"/>
        <v>1.6666666666666668E-3</v>
      </c>
    </row>
    <row r="49" spans="1:5" x14ac:dyDescent="0.15">
      <c r="A49" s="10">
        <v>45748</v>
      </c>
      <c r="B49" s="11">
        <f>'NVDA Stock Price History '!H53</f>
        <v>3.7784535987466276E-3</v>
      </c>
      <c r="C49" s="11">
        <f>'JPM Stock Price History'!H53</f>
        <v>8.2433435001236493E-3</v>
      </c>
      <c r="D49" s="11">
        <f>'JNJ Stock Price History '!H53</f>
        <v>-2.7499533378958427E-2</v>
      </c>
      <c r="E49" s="11">
        <f t="shared" si="0"/>
        <v>1.6666666666666668E-3</v>
      </c>
    </row>
    <row r="50" spans="1:5" x14ac:dyDescent="0.15">
      <c r="A50" s="10">
        <v>45778</v>
      </c>
      <c r="B50" s="11">
        <f>'NVDA Stock Price History '!H54</f>
        <v>0.19499469402193134</v>
      </c>
      <c r="C50" s="11">
        <f>'JPM Stock Price History'!H54</f>
        <v>8.7135562510294834E-2</v>
      </c>
      <c r="D50" s="11">
        <f>'JNJ Stock Price History '!H54</f>
        <v>1.3548387096774708E-3</v>
      </c>
      <c r="E50" s="11">
        <f t="shared" si="0"/>
        <v>1.6666666666666668E-3</v>
      </c>
    </row>
    <row r="51" spans="1:5" x14ac:dyDescent="0.15">
      <c r="A51" s="10">
        <v>45809</v>
      </c>
      <c r="B51" s="11">
        <f>'NVDA Stock Price History '!H55</f>
        <v>0.16606391615617389</v>
      </c>
      <c r="C51" s="11">
        <f>'JPM Stock Price History'!H55</f>
        <v>0.10223557143943443</v>
      </c>
      <c r="D51" s="11">
        <f>'JNJ Stock Price History '!H55</f>
        <v>-1.1198860693940898E-2</v>
      </c>
      <c r="E51" s="11">
        <f t="shared" si="0"/>
        <v>1.6666666666666668E-3</v>
      </c>
    </row>
    <row r="52" spans="1:5" x14ac:dyDescent="0.15">
      <c r="A52" s="10">
        <v>45839</v>
      </c>
      <c r="B52" s="11">
        <f>'NVDA Stock Price History '!H56</f>
        <v>0.13807665237699157</v>
      </c>
      <c r="C52" s="11">
        <f>'JPM Stock Price History'!H56</f>
        <v>1.8391831963972715E-2</v>
      </c>
      <c r="D52" s="11">
        <f>'JNJ Stock Price History '!H56</f>
        <v>7.6732026143790905E-2</v>
      </c>
      <c r="E52" s="11">
        <f t="shared" si="0"/>
        <v>1.6666666666666668E-3</v>
      </c>
    </row>
    <row r="53" spans="1:5" x14ac:dyDescent="0.15">
      <c r="A53" s="10">
        <v>45870</v>
      </c>
      <c r="B53" s="11">
        <f>'NVDA Stock Price History '!H57</f>
        <v>5.1697397897641111E-4</v>
      </c>
      <c r="C53" s="11">
        <f>'JPM Stock Price History'!H57</f>
        <v>3.7947658402203994E-2</v>
      </c>
      <c r="D53" s="11">
        <f>'JNJ Stock Price History '!H57</f>
        <v>7.064297800338408E-2</v>
      </c>
      <c r="E53" s="11">
        <f t="shared" si="0"/>
        <v>1.6666666666666668E-3</v>
      </c>
    </row>
    <row r="54" spans="1:5" x14ac:dyDescent="0.15">
      <c r="A54" s="10">
        <v>45901</v>
      </c>
      <c r="B54" s="11">
        <f>'NVDA Stock Price History '!H58</f>
        <v>9.7529411764705962E-2</v>
      </c>
      <c r="C54" s="11">
        <f>'JPM Stock Price History'!H58</f>
        <v>5.0522880170518938E-2</v>
      </c>
      <c r="D54" s="11">
        <f>'JNJ Stock Price History '!H58</f>
        <v>4.4796303600608489E-2</v>
      </c>
      <c r="E54" s="11">
        <f t="shared" si="0"/>
        <v>1.6666666666666668E-3</v>
      </c>
    </row>
    <row r="55" spans="1:5" x14ac:dyDescent="0.15">
      <c r="A55" s="10">
        <v>45931</v>
      </c>
      <c r="B55" s="11">
        <f>'NVDA Stock Price History '!H59</f>
        <v>9.3122435759015326E-2</v>
      </c>
      <c r="C55" s="11">
        <f>'JPM Stock Price History'!H59</f>
        <v>-9.0773003790171752E-3</v>
      </c>
      <c r="D55" s="11">
        <f>'JNJ Stock Price History '!H59</f>
        <v>1.5430107526881745E-2</v>
      </c>
      <c r="E55" s="11">
        <f>0.02/12</f>
        <v>1.6666666666666668E-3</v>
      </c>
    </row>
    <row r="56" spans="1:5" x14ac:dyDescent="0.15">
      <c r="A56" s="10">
        <v>45962</v>
      </c>
      <c r="B56" s="11">
        <f>'NVDA Stock Price History '!H60</f>
        <v>-0.14936562860438299</v>
      </c>
      <c r="C56" s="11">
        <f>'JPM Stock Price History'!H60</f>
        <v>6.6881028938906243E-3</v>
      </c>
      <c r="D56" s="11">
        <f>'JNJ Stock Price History '!H60</f>
        <v>9.4814814814814755E-2</v>
      </c>
      <c r="E56" s="11">
        <f t="shared" si="0"/>
        <v>1.6666666666666668E-3</v>
      </c>
    </row>
    <row r="57" spans="1:5" x14ac:dyDescent="0.15">
      <c r="A57" s="10">
        <v>45992</v>
      </c>
      <c r="B57" s="11">
        <f>'NVDA Stock Price History '!H61</f>
        <v>6.717784390020605E-2</v>
      </c>
      <c r="C57" s="11">
        <f>'JPM Stock Price History'!H61</f>
        <v>2.9621345262821661E-2</v>
      </c>
      <c r="D57" s="11">
        <f>'JNJ Stock Price History '!H61</f>
        <v>2.1791767554478867E-3</v>
      </c>
      <c r="E57" s="11">
        <f t="shared" si="0"/>
        <v>1.6666666666666668E-3</v>
      </c>
    </row>
    <row r="58" spans="1:5" x14ac:dyDescent="0.15">
      <c r="A58" s="10">
        <v>46023</v>
      </c>
      <c r="B58" s="11">
        <f>'NVDA Stock Price History '!H62</f>
        <v>6.7951959544879474E-3</v>
      </c>
      <c r="C58" s="11">
        <f>'JPM Stock Price History'!H62</f>
        <v>-5.1503875968992294E-2</v>
      </c>
      <c r="D58" s="11">
        <f>'JNJ Stock Price History '!H62</f>
        <v>9.8781549173194122E-2</v>
      </c>
      <c r="E58" s="11">
        <f t="shared" si="0"/>
        <v>1.6666666666666668E-3</v>
      </c>
    </row>
    <row r="59" spans="1:5" x14ac:dyDescent="0.15">
      <c r="A59" s="10">
        <v>46054</v>
      </c>
      <c r="B59" s="11">
        <f>'NVDA Stock Price History '!H63</f>
        <v>-5.3472222222222178E-2</v>
      </c>
      <c r="C59" s="11">
        <f>'JPM Stock Price History'!H63</f>
        <v>-1.3663535439794943E-2</v>
      </c>
      <c r="D59" s="11">
        <f>'JNJ Stock Price History '!H63</f>
        <v>8.8078135949544556E-2</v>
      </c>
      <c r="E59" s="11">
        <f t="shared" si="0"/>
        <v>1.6666666666666668E-3</v>
      </c>
    </row>
    <row r="60" spans="1:5" x14ac:dyDescent="0.15">
      <c r="A60" s="10">
        <v>46082</v>
      </c>
      <c r="B60" s="11">
        <f>'NVDA Stock Price History '!H64</f>
        <v>-3.485515113422006E-3</v>
      </c>
      <c r="C60" s="11">
        <f>'JPM Stock Price History'!H64</f>
        <v>-2.2048098775481742E-3</v>
      </c>
      <c r="D60" s="11">
        <f>'JNJ Stock Price History '!H64</f>
        <v>-1.9061760102732854E-2</v>
      </c>
      <c r="E60" s="11">
        <f t="shared" si="0"/>
        <v>1.6666666666666668E-3</v>
      </c>
    </row>
    <row r="61" spans="1:5" x14ac:dyDescent="0.15">
      <c r="A61" s="10">
        <v>46113</v>
      </c>
      <c r="B61" s="11">
        <f>'NVDA Stock Price History '!H65</f>
        <v>0.2155681818181818</v>
      </c>
      <c r="C61" s="11">
        <f>'JPM Stock Price History'!H65</f>
        <v>5.4775043163275694E-2</v>
      </c>
      <c r="D61" s="11">
        <f>'JNJ Stock Price History '!H65</f>
        <v>-7.4144951140065182E-2</v>
      </c>
      <c r="E61" s="11">
        <f t="shared" si="0"/>
        <v>1.6666666666666668E-3</v>
      </c>
    </row>
    <row r="62" spans="1:5" x14ac:dyDescent="0.15">
      <c r="A62" s="2" t="s">
        <v>200</v>
      </c>
      <c r="B62" s="12">
        <f>AVERAGE(B2:B61)</f>
        <v>5.413766192269874E-2</v>
      </c>
      <c r="C62" s="12">
        <f>AVERAGE(C2:C61)</f>
        <v>1.4254885853978154E-2</v>
      </c>
      <c r="D62" s="12">
        <f>AVERAGE(D2:D61)</f>
        <v>6.5912364463559447E-3</v>
      </c>
      <c r="E62" s="12">
        <f>AVERAGE(E2:E61)</f>
        <v>1.6666666666666646E-3</v>
      </c>
    </row>
    <row r="63" spans="1:5" x14ac:dyDescent="0.15">
      <c r="A63" s="2" t="s">
        <v>201</v>
      </c>
      <c r="B63" s="12">
        <f>_xlfn.STDEV.S(B2:B61)</f>
        <v>0.14628819831049053</v>
      </c>
      <c r="C63" s="12">
        <f>_xlfn.STDEV.S(C2:C61)</f>
        <v>6.6958887307288065E-2</v>
      </c>
      <c r="D63" s="12">
        <f>_xlfn.STDEV.S(D2:D61)</f>
        <v>4.8880336772488278E-2</v>
      </c>
      <c r="E63" s="12">
        <f>_xlfn.STDEV.S(E2:E61)</f>
        <v>2.1867034402379049E-18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A791-EA7D-A34A-ADFB-37B0816BEF6D}">
  <sheetPr codeName="Sheet10"/>
  <dimension ref="A1:G44"/>
  <sheetViews>
    <sheetView topLeftCell="A15" workbookViewId="0">
      <selection activeCell="A44" sqref="A44"/>
    </sheetView>
  </sheetViews>
  <sheetFormatPr baseColWidth="10" defaultColWidth="11.5" defaultRowHeight="14" x14ac:dyDescent="0.15"/>
  <cols>
    <col min="1" max="1" width="23.6640625" style="2" bestFit="1" customWidth="1"/>
    <col min="2" max="2" width="40" style="2" customWidth="1"/>
    <col min="3" max="3" width="23.6640625" style="2" bestFit="1" customWidth="1"/>
    <col min="4" max="4" width="18.1640625" style="2" bestFit="1" customWidth="1"/>
    <col min="5" max="5" width="17.83203125" style="2" bestFit="1" customWidth="1"/>
    <col min="6" max="6" width="20.83203125" style="2" bestFit="1" customWidth="1"/>
    <col min="7" max="7" width="17.5" style="2" bestFit="1" customWidth="1"/>
    <col min="8" max="16384" width="11.5" style="2"/>
  </cols>
  <sheetData>
    <row r="1" spans="1:3" x14ac:dyDescent="0.15">
      <c r="A1" s="2" t="s">
        <v>219</v>
      </c>
      <c r="B1" s="2" t="s">
        <v>197</v>
      </c>
    </row>
    <row r="2" spans="1:3" x14ac:dyDescent="0.15">
      <c r="A2" s="2" t="s">
        <v>220</v>
      </c>
      <c r="B2" s="2" t="s">
        <v>221</v>
      </c>
    </row>
    <row r="3" spans="1:3" x14ac:dyDescent="0.15">
      <c r="A3" s="2" t="s">
        <v>222</v>
      </c>
      <c r="B3" s="32">
        <v>215</v>
      </c>
    </row>
    <row r="4" spans="1:3" x14ac:dyDescent="0.15">
      <c r="A4" s="2" t="s">
        <v>223</v>
      </c>
      <c r="B4" s="33" t="s">
        <v>224</v>
      </c>
    </row>
    <row r="5" spans="1:3" x14ac:dyDescent="0.15">
      <c r="A5" s="2" t="s">
        <v>225</v>
      </c>
      <c r="B5" s="34">
        <v>46283</v>
      </c>
    </row>
    <row r="6" spans="1:3" x14ac:dyDescent="0.15">
      <c r="A6" s="2" t="s">
        <v>226</v>
      </c>
      <c r="B6" s="32">
        <v>23.8</v>
      </c>
      <c r="C6" s="2" t="s">
        <v>264</v>
      </c>
    </row>
    <row r="7" spans="1:3" x14ac:dyDescent="0.15">
      <c r="B7" s="32"/>
    </row>
    <row r="9" spans="1:3" x14ac:dyDescent="0.15">
      <c r="A9" s="2" t="s">
        <v>231</v>
      </c>
      <c r="B9" s="32">
        <v>12.99</v>
      </c>
    </row>
    <row r="10" spans="1:3" x14ac:dyDescent="0.15">
      <c r="A10" s="2" t="s">
        <v>232</v>
      </c>
      <c r="B10" s="32">
        <v>213.94</v>
      </c>
    </row>
    <row r="12" spans="1:3" x14ac:dyDescent="0.15">
      <c r="A12" s="2" t="s">
        <v>233</v>
      </c>
      <c r="B12" s="35">
        <f>B10-B9</f>
        <v>200.95</v>
      </c>
    </row>
    <row r="13" spans="1:3" x14ac:dyDescent="0.15">
      <c r="A13" s="2" t="s">
        <v>234</v>
      </c>
      <c r="B13" s="35">
        <f>B9-B10</f>
        <v>-200.95</v>
      </c>
    </row>
    <row r="15" spans="1:3" x14ac:dyDescent="0.15">
      <c r="A15" s="2" t="s">
        <v>236</v>
      </c>
      <c r="B15" s="32">
        <v>215</v>
      </c>
    </row>
    <row r="16" spans="1:3" x14ac:dyDescent="0.15">
      <c r="A16" s="2" t="s">
        <v>237</v>
      </c>
      <c r="B16" s="32">
        <v>23.8</v>
      </c>
    </row>
    <row r="17" spans="1:6" x14ac:dyDescent="0.15">
      <c r="A17" s="2" t="s">
        <v>238</v>
      </c>
      <c r="B17" s="35">
        <f>MAX(B15-B10,0)-B16</f>
        <v>-22.74</v>
      </c>
    </row>
    <row r="18" spans="1:6" x14ac:dyDescent="0.15">
      <c r="A18" s="2" t="s">
        <v>239</v>
      </c>
      <c r="B18" s="35">
        <f>B16-MAX(B15-B10,0)</f>
        <v>22.74</v>
      </c>
    </row>
    <row r="19" spans="1:6" x14ac:dyDescent="0.15">
      <c r="A19" s="2" t="s">
        <v>240</v>
      </c>
      <c r="B19" s="35">
        <f>B12+B17</f>
        <v>178.20999999999998</v>
      </c>
    </row>
    <row r="21" spans="1:6" x14ac:dyDescent="0.15">
      <c r="B21" s="2" t="s">
        <v>233</v>
      </c>
      <c r="C21" s="2" t="s">
        <v>234</v>
      </c>
      <c r="D21" s="2" t="s">
        <v>238</v>
      </c>
      <c r="E21" s="2" t="s">
        <v>239</v>
      </c>
      <c r="F21" s="2" t="s">
        <v>240</v>
      </c>
    </row>
    <row r="22" spans="1:6" x14ac:dyDescent="0.15">
      <c r="A22" s="2" t="s">
        <v>235</v>
      </c>
      <c r="B22" s="35">
        <f>B12</f>
        <v>200.95</v>
      </c>
      <c r="C22" s="35">
        <f>B13</f>
        <v>-200.95</v>
      </c>
      <c r="D22" s="35">
        <f>B17</f>
        <v>-22.74</v>
      </c>
      <c r="E22" s="35">
        <f>B18</f>
        <v>22.74</v>
      </c>
      <c r="F22" s="32">
        <f>B19</f>
        <v>178.20999999999998</v>
      </c>
    </row>
    <row r="23" spans="1:6" x14ac:dyDescent="0.15">
      <c r="A23" s="2">
        <v>0</v>
      </c>
      <c r="B23" s="32">
        <f t="dataTable" ref="B23:F43" dt2D="0" dtr="0" r1="B10"/>
        <v>-12.99</v>
      </c>
      <c r="C23" s="32">
        <v>12.99</v>
      </c>
      <c r="D23" s="32">
        <v>191.2</v>
      </c>
      <c r="E23" s="32">
        <v>-191.2</v>
      </c>
      <c r="F23" s="32">
        <v>178.20999999999998</v>
      </c>
    </row>
    <row r="24" spans="1:6" x14ac:dyDescent="0.15">
      <c r="A24" s="2">
        <v>15</v>
      </c>
      <c r="B24" s="32">
        <v>2.0099999999999998</v>
      </c>
      <c r="C24" s="32">
        <v>-2.0099999999999998</v>
      </c>
      <c r="D24" s="32">
        <v>176.2</v>
      </c>
      <c r="E24" s="32">
        <v>-176.2</v>
      </c>
      <c r="F24" s="32">
        <v>178.20999999999998</v>
      </c>
    </row>
    <row r="25" spans="1:6" x14ac:dyDescent="0.15">
      <c r="A25" s="2">
        <v>30</v>
      </c>
      <c r="B25" s="32">
        <v>17.009999999999998</v>
      </c>
      <c r="C25" s="32">
        <v>-17.009999999999998</v>
      </c>
      <c r="D25" s="32">
        <v>161.19999999999999</v>
      </c>
      <c r="E25" s="32">
        <v>-161.19999999999999</v>
      </c>
      <c r="F25" s="32">
        <v>178.20999999999998</v>
      </c>
    </row>
    <row r="26" spans="1:6" x14ac:dyDescent="0.15">
      <c r="A26" s="2">
        <v>45</v>
      </c>
      <c r="B26" s="32">
        <v>32.01</v>
      </c>
      <c r="C26" s="32">
        <v>-32.01</v>
      </c>
      <c r="D26" s="32">
        <v>146.19999999999999</v>
      </c>
      <c r="E26" s="32">
        <v>-146.19999999999999</v>
      </c>
      <c r="F26" s="32">
        <v>178.20999999999998</v>
      </c>
    </row>
    <row r="27" spans="1:6" x14ac:dyDescent="0.15">
      <c r="A27" s="2">
        <v>60</v>
      </c>
      <c r="B27" s="32">
        <v>47.01</v>
      </c>
      <c r="C27" s="32">
        <v>-47.01</v>
      </c>
      <c r="D27" s="32">
        <v>131.19999999999999</v>
      </c>
      <c r="E27" s="32">
        <v>-131.19999999999999</v>
      </c>
      <c r="F27" s="32">
        <v>178.20999999999998</v>
      </c>
    </row>
    <row r="28" spans="1:6" x14ac:dyDescent="0.15">
      <c r="A28" s="2">
        <v>75</v>
      </c>
      <c r="B28" s="32">
        <v>62.01</v>
      </c>
      <c r="C28" s="32">
        <v>-62.01</v>
      </c>
      <c r="D28" s="32">
        <v>116.2</v>
      </c>
      <c r="E28" s="32">
        <v>-116.2</v>
      </c>
      <c r="F28" s="32">
        <v>178.21</v>
      </c>
    </row>
    <row r="29" spans="1:6" x14ac:dyDescent="0.15">
      <c r="A29" s="2">
        <v>90</v>
      </c>
      <c r="B29" s="32">
        <v>77.010000000000005</v>
      </c>
      <c r="C29" s="32">
        <v>-77.010000000000005</v>
      </c>
      <c r="D29" s="32">
        <v>101.2</v>
      </c>
      <c r="E29" s="32">
        <v>-101.2</v>
      </c>
      <c r="F29" s="32">
        <v>178.21</v>
      </c>
    </row>
    <row r="30" spans="1:6" x14ac:dyDescent="0.15">
      <c r="A30" s="2">
        <v>105</v>
      </c>
      <c r="B30" s="32">
        <v>92.01</v>
      </c>
      <c r="C30" s="32">
        <v>-92.01</v>
      </c>
      <c r="D30" s="32">
        <v>86.2</v>
      </c>
      <c r="E30" s="32">
        <v>-86.2</v>
      </c>
      <c r="F30" s="32">
        <v>178.21</v>
      </c>
    </row>
    <row r="31" spans="1:6" x14ac:dyDescent="0.15">
      <c r="A31" s="2">
        <v>120</v>
      </c>
      <c r="B31" s="32">
        <v>107.01</v>
      </c>
      <c r="C31" s="32">
        <v>-107.01</v>
      </c>
      <c r="D31" s="32">
        <v>71.2</v>
      </c>
      <c r="E31" s="32">
        <v>-71.2</v>
      </c>
      <c r="F31" s="32">
        <v>178.21</v>
      </c>
    </row>
    <row r="32" spans="1:6" x14ac:dyDescent="0.15">
      <c r="A32" s="2">
        <v>135</v>
      </c>
      <c r="B32" s="32">
        <v>122.01</v>
      </c>
      <c r="C32" s="32">
        <v>-122.01</v>
      </c>
      <c r="D32" s="32">
        <v>56.2</v>
      </c>
      <c r="E32" s="32">
        <v>-56.2</v>
      </c>
      <c r="F32" s="32">
        <v>178.21</v>
      </c>
    </row>
    <row r="33" spans="1:7" x14ac:dyDescent="0.15">
      <c r="A33" s="2">
        <v>150</v>
      </c>
      <c r="B33" s="32">
        <v>137.01</v>
      </c>
      <c r="C33" s="32">
        <v>-137.01</v>
      </c>
      <c r="D33" s="32">
        <v>41.2</v>
      </c>
      <c r="E33" s="32">
        <v>-41.2</v>
      </c>
      <c r="F33" s="32">
        <v>178.20999999999998</v>
      </c>
    </row>
    <row r="34" spans="1:7" x14ac:dyDescent="0.15">
      <c r="A34" s="2">
        <v>165</v>
      </c>
      <c r="B34" s="32">
        <v>152.01</v>
      </c>
      <c r="C34" s="32">
        <v>-152.01</v>
      </c>
      <c r="D34" s="32">
        <v>26.2</v>
      </c>
      <c r="E34" s="32">
        <v>-26.2</v>
      </c>
      <c r="F34" s="32">
        <v>178.20999999999998</v>
      </c>
    </row>
    <row r="35" spans="1:7" x14ac:dyDescent="0.15">
      <c r="A35" s="2">
        <v>180</v>
      </c>
      <c r="B35" s="32">
        <v>167.01</v>
      </c>
      <c r="C35" s="32">
        <v>-167.01</v>
      </c>
      <c r="D35" s="32">
        <v>11.2</v>
      </c>
      <c r="E35" s="32">
        <v>-11.2</v>
      </c>
      <c r="F35" s="32">
        <v>178.20999999999998</v>
      </c>
    </row>
    <row r="36" spans="1:7" x14ac:dyDescent="0.15">
      <c r="A36" s="2">
        <v>195</v>
      </c>
      <c r="B36" s="32">
        <v>182.01</v>
      </c>
      <c r="C36" s="32">
        <v>-182.01</v>
      </c>
      <c r="D36" s="32">
        <v>-3.8000000000000007</v>
      </c>
      <c r="E36" s="32">
        <v>3.8000000000000007</v>
      </c>
      <c r="F36" s="32">
        <v>178.20999999999998</v>
      </c>
    </row>
    <row r="37" spans="1:7" x14ac:dyDescent="0.15">
      <c r="A37" s="2">
        <v>210</v>
      </c>
      <c r="B37" s="32">
        <v>197.01</v>
      </c>
      <c r="C37" s="32">
        <v>-197.01</v>
      </c>
      <c r="D37" s="32">
        <v>-18.8</v>
      </c>
      <c r="E37" s="32">
        <v>18.8</v>
      </c>
      <c r="F37" s="32">
        <v>178.20999999999998</v>
      </c>
    </row>
    <row r="38" spans="1:7" x14ac:dyDescent="0.15">
      <c r="A38" s="2">
        <v>225</v>
      </c>
      <c r="B38" s="32">
        <v>212.01</v>
      </c>
      <c r="C38" s="32">
        <v>-212.01</v>
      </c>
      <c r="D38" s="32">
        <v>-23.8</v>
      </c>
      <c r="E38" s="32">
        <v>23.8</v>
      </c>
      <c r="F38" s="32">
        <v>188.20999999999998</v>
      </c>
    </row>
    <row r="39" spans="1:7" x14ac:dyDescent="0.15">
      <c r="A39" s="2">
        <v>240</v>
      </c>
      <c r="B39" s="32">
        <v>227.01</v>
      </c>
      <c r="C39" s="32">
        <v>-227.01</v>
      </c>
      <c r="D39" s="32">
        <v>-23.8</v>
      </c>
      <c r="E39" s="32">
        <v>23.8</v>
      </c>
      <c r="F39" s="32">
        <v>203.20999999999998</v>
      </c>
    </row>
    <row r="40" spans="1:7" x14ac:dyDescent="0.15">
      <c r="A40" s="2">
        <v>255</v>
      </c>
      <c r="B40" s="32">
        <v>242.01</v>
      </c>
      <c r="C40" s="32">
        <v>-242.01</v>
      </c>
      <c r="D40" s="32">
        <v>-23.8</v>
      </c>
      <c r="E40" s="32">
        <v>23.8</v>
      </c>
      <c r="F40" s="32">
        <v>218.20999999999998</v>
      </c>
    </row>
    <row r="41" spans="1:7" x14ac:dyDescent="0.15">
      <c r="A41" s="2">
        <v>270</v>
      </c>
      <c r="B41" s="32">
        <v>257.01</v>
      </c>
      <c r="C41" s="32">
        <v>-257.01</v>
      </c>
      <c r="D41" s="32">
        <v>-23.8</v>
      </c>
      <c r="E41" s="32">
        <v>23.8</v>
      </c>
      <c r="F41" s="32">
        <v>233.20999999999998</v>
      </c>
    </row>
    <row r="42" spans="1:7" x14ac:dyDescent="0.15">
      <c r="A42" s="2">
        <v>285</v>
      </c>
      <c r="B42" s="32">
        <v>272.01</v>
      </c>
      <c r="C42" s="32">
        <v>-272.01</v>
      </c>
      <c r="D42" s="32">
        <v>-23.8</v>
      </c>
      <c r="E42" s="32">
        <v>23.8</v>
      </c>
      <c r="F42" s="32">
        <v>248.20999999999998</v>
      </c>
    </row>
    <row r="43" spans="1:7" x14ac:dyDescent="0.15">
      <c r="A43" s="2">
        <v>300</v>
      </c>
      <c r="B43" s="32">
        <v>287.01</v>
      </c>
      <c r="C43" s="32">
        <v>-287.01</v>
      </c>
      <c r="D43" s="32">
        <v>-23.8</v>
      </c>
      <c r="E43" s="32">
        <v>23.8</v>
      </c>
      <c r="F43" s="32">
        <v>263.20999999999998</v>
      </c>
    </row>
    <row r="44" spans="1:7" x14ac:dyDescent="0.15">
      <c r="A44" s="36" t="s">
        <v>230</v>
      </c>
      <c r="D44" s="36" t="s">
        <v>227</v>
      </c>
      <c r="G44" s="36" t="s">
        <v>228</v>
      </c>
    </row>
  </sheetData>
  <hyperlinks>
    <hyperlink ref="B4" r:id="rId1" display="https://uk.finance.yahoo.com/quote/NVDA260918P00215000/" xr:uid="{25C697E8-6869-0748-BE3A-7C3A099DB3BB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CB3A-A6B6-E84E-993B-44D9E936D7D4}">
  <sheetPr codeName="Sheet11"/>
  <dimension ref="A1:D42"/>
  <sheetViews>
    <sheetView workbookViewId="0">
      <selection activeCell="E19" sqref="E19"/>
    </sheetView>
  </sheetViews>
  <sheetFormatPr baseColWidth="10" defaultRowHeight="14" x14ac:dyDescent="0.15"/>
  <cols>
    <col min="1" max="1" width="23.6640625" style="2" bestFit="1" customWidth="1"/>
    <col min="2" max="2" width="13" style="2" bestFit="1" customWidth="1"/>
    <col min="3" max="3" width="31" style="2" customWidth="1"/>
    <col min="4" max="4" width="16.83203125" style="2" customWidth="1"/>
    <col min="5" max="16384" width="10.83203125" style="2"/>
  </cols>
  <sheetData>
    <row r="1" spans="1:3" x14ac:dyDescent="0.15">
      <c r="B1" s="32"/>
    </row>
    <row r="2" spans="1:3" x14ac:dyDescent="0.15">
      <c r="A2" s="2" t="s">
        <v>241</v>
      </c>
      <c r="B2" s="32">
        <v>213.94</v>
      </c>
    </row>
    <row r="3" spans="1:3" x14ac:dyDescent="0.15">
      <c r="A3" s="2" t="s">
        <v>242</v>
      </c>
      <c r="B3" s="32">
        <v>215</v>
      </c>
    </row>
    <row r="4" spans="1:3" x14ac:dyDescent="0.15">
      <c r="A4" s="2" t="s">
        <v>243</v>
      </c>
      <c r="B4" s="37">
        <v>4.3999999999999997E-2</v>
      </c>
    </row>
    <row r="5" spans="1:3" x14ac:dyDescent="0.15">
      <c r="A5" s="2" t="s">
        <v>244</v>
      </c>
      <c r="B5" s="38">
        <f>5/12</f>
        <v>0.41666666666666669</v>
      </c>
      <c r="C5" s="2" t="s">
        <v>265</v>
      </c>
    </row>
    <row r="6" spans="1:3" x14ac:dyDescent="0.15">
      <c r="A6" s="2" t="s">
        <v>245</v>
      </c>
      <c r="B6" s="12">
        <v>0.36599999999999999</v>
      </c>
    </row>
    <row r="8" spans="1:3" x14ac:dyDescent="0.15">
      <c r="B8" s="32"/>
      <c r="C8" s="2" t="s">
        <v>253</v>
      </c>
    </row>
    <row r="9" spans="1:3" x14ac:dyDescent="0.15">
      <c r="A9" s="2" t="s">
        <v>246</v>
      </c>
      <c r="B9" s="2">
        <f>(LN(B2/B3)+(B4+B6^2/2)*B5)/(B6*SQRT(B5))</f>
        <v>0.17480660421846073</v>
      </c>
    </row>
    <row r="10" spans="1:3" x14ac:dyDescent="0.15">
      <c r="A10" s="2" t="s">
        <v>247</v>
      </c>
      <c r="B10" s="2">
        <f>B9-B6*SQRT(B5)</f>
        <v>-6.1445379900191693E-2</v>
      </c>
    </row>
    <row r="11" spans="1:3" x14ac:dyDescent="0.15">
      <c r="B11" s="35"/>
    </row>
    <row r="12" spans="1:3" x14ac:dyDescent="0.15">
      <c r="A12" s="2" t="s">
        <v>248</v>
      </c>
      <c r="B12" s="39">
        <f>NORMSDIST(B9)</f>
        <v>0.56938420058588846</v>
      </c>
    </row>
    <row r="13" spans="1:3" x14ac:dyDescent="0.15">
      <c r="A13" s="2" t="s">
        <v>249</v>
      </c>
      <c r="B13" s="39">
        <f>NORMSDIST(B10)</f>
        <v>0.47550225633846854</v>
      </c>
    </row>
    <row r="14" spans="1:3" x14ac:dyDescent="0.15">
      <c r="A14" s="2" t="s">
        <v>251</v>
      </c>
      <c r="B14" s="35">
        <f>B2*B12-B3*EXP(-B4*B5)*B13</f>
        <v>21.438265847642953</v>
      </c>
    </row>
    <row r="15" spans="1:3" x14ac:dyDescent="0.15">
      <c r="A15" s="36" t="s">
        <v>250</v>
      </c>
      <c r="B15" s="40">
        <f>B14+B3*EXP(-B4*B5)-B2</f>
        <v>18.592511327423097</v>
      </c>
    </row>
    <row r="17" spans="1:4" ht="42" customHeight="1" x14ac:dyDescent="0.15">
      <c r="B17" s="35"/>
      <c r="C17" s="41" t="s">
        <v>266</v>
      </c>
      <c r="D17" s="41" t="s">
        <v>267</v>
      </c>
    </row>
    <row r="18" spans="1:4" x14ac:dyDescent="0.15">
      <c r="B18" s="35"/>
    </row>
    <row r="20" spans="1:4" x14ac:dyDescent="0.15">
      <c r="B20" s="36" t="s">
        <v>250</v>
      </c>
      <c r="C20" s="2" t="s">
        <v>252</v>
      </c>
    </row>
    <row r="21" spans="1:4" x14ac:dyDescent="0.15">
      <c r="A21" s="2" t="s">
        <v>241</v>
      </c>
      <c r="B21" s="35">
        <f>B15</f>
        <v>18.592511327423097</v>
      </c>
      <c r="C21" s="35">
        <f>MAX(B3-B2,0)</f>
        <v>1.0600000000000023</v>
      </c>
    </row>
    <row r="22" spans="1:4" x14ac:dyDescent="0.15">
      <c r="A22" s="2">
        <v>5</v>
      </c>
      <c r="B22" s="32">
        <f t="dataTable" ref="B22:C42" dt2D="0" dtr="0" r1="B2"/>
        <v>206.09424547978014</v>
      </c>
      <c r="C22" s="32">
        <v>210</v>
      </c>
    </row>
    <row r="23" spans="1:4" x14ac:dyDescent="0.15">
      <c r="A23" s="2">
        <v>20</v>
      </c>
      <c r="B23" s="32">
        <v>191.09424547978014</v>
      </c>
      <c r="C23" s="32">
        <v>195</v>
      </c>
    </row>
    <row r="24" spans="1:4" x14ac:dyDescent="0.15">
      <c r="A24" s="2">
        <v>35</v>
      </c>
      <c r="B24" s="32">
        <v>176.09424547978017</v>
      </c>
      <c r="C24" s="32">
        <v>180</v>
      </c>
    </row>
    <row r="25" spans="1:4" x14ac:dyDescent="0.15">
      <c r="A25" s="2">
        <v>50</v>
      </c>
      <c r="B25" s="32">
        <v>161.09424548182324</v>
      </c>
      <c r="C25" s="32">
        <v>165</v>
      </c>
    </row>
    <row r="26" spans="1:4" x14ac:dyDescent="0.15">
      <c r="A26" s="2">
        <v>65</v>
      </c>
      <c r="B26" s="32">
        <v>146.09424706533321</v>
      </c>
      <c r="C26" s="32">
        <v>150</v>
      </c>
    </row>
    <row r="27" spans="1:4" x14ac:dyDescent="0.15">
      <c r="A27" s="2">
        <v>80</v>
      </c>
      <c r="B27" s="32">
        <v>131.09438044594359</v>
      </c>
      <c r="C27" s="32">
        <v>135</v>
      </c>
    </row>
    <row r="28" spans="1:4" x14ac:dyDescent="0.15">
      <c r="A28" s="2">
        <v>95</v>
      </c>
      <c r="B28" s="32">
        <v>116.09736466666141</v>
      </c>
      <c r="C28" s="32">
        <v>120</v>
      </c>
    </row>
    <row r="29" spans="1:4" x14ac:dyDescent="0.15">
      <c r="A29" s="2">
        <v>110</v>
      </c>
      <c r="B29" s="32">
        <v>101.12547725540151</v>
      </c>
      <c r="C29" s="32">
        <v>105</v>
      </c>
    </row>
    <row r="30" spans="1:4" x14ac:dyDescent="0.15">
      <c r="A30" s="2">
        <v>125</v>
      </c>
      <c r="B30" s="32">
        <v>86.271439352247143</v>
      </c>
      <c r="C30" s="32">
        <v>90</v>
      </c>
    </row>
    <row r="31" spans="1:4" x14ac:dyDescent="0.15">
      <c r="A31" s="2">
        <v>140</v>
      </c>
      <c r="B31" s="32">
        <v>71.766954439790709</v>
      </c>
      <c r="C31" s="32">
        <v>75</v>
      </c>
    </row>
    <row r="32" spans="1:4" x14ac:dyDescent="0.15">
      <c r="A32" s="2">
        <v>155</v>
      </c>
      <c r="B32" s="32">
        <v>58.000157592080001</v>
      </c>
      <c r="C32" s="32">
        <v>60</v>
      </c>
    </row>
    <row r="33" spans="1:3" x14ac:dyDescent="0.15">
      <c r="A33" s="2">
        <v>170</v>
      </c>
      <c r="B33" s="32">
        <v>45.436614000055329</v>
      </c>
      <c r="C33" s="32">
        <v>45</v>
      </c>
    </row>
    <row r="34" spans="1:3" x14ac:dyDescent="0.15">
      <c r="A34" s="2">
        <v>185</v>
      </c>
      <c r="B34" s="32">
        <v>34.483009482557321</v>
      </c>
      <c r="C34" s="32">
        <v>30</v>
      </c>
    </row>
    <row r="35" spans="1:3" x14ac:dyDescent="0.15">
      <c r="A35" s="2">
        <v>200</v>
      </c>
      <c r="B35" s="32">
        <v>25.375146229243569</v>
      </c>
      <c r="C35" s="32">
        <v>15</v>
      </c>
    </row>
    <row r="36" spans="1:3" x14ac:dyDescent="0.15">
      <c r="A36" s="2">
        <v>215</v>
      </c>
      <c r="B36" s="32">
        <v>18.140412972103491</v>
      </c>
      <c r="C36" s="32">
        <v>0</v>
      </c>
    </row>
    <row r="37" spans="1:3" x14ac:dyDescent="0.15">
      <c r="A37" s="2">
        <v>230</v>
      </c>
      <c r="B37" s="32">
        <v>12.630352848838584</v>
      </c>
      <c r="C37" s="32">
        <v>0</v>
      </c>
    </row>
    <row r="38" spans="1:3" x14ac:dyDescent="0.15">
      <c r="A38" s="2">
        <v>245</v>
      </c>
      <c r="B38" s="32">
        <v>8.5886118118513082</v>
      </c>
      <c r="C38" s="32">
        <v>0</v>
      </c>
    </row>
    <row r="39" spans="1:3" x14ac:dyDescent="0.15">
      <c r="A39" s="2">
        <v>260</v>
      </c>
      <c r="B39" s="32">
        <v>5.719942458376579</v>
      </c>
      <c r="C39" s="32">
        <v>0</v>
      </c>
    </row>
    <row r="40" spans="1:3" x14ac:dyDescent="0.15">
      <c r="A40" s="2">
        <v>275</v>
      </c>
      <c r="B40" s="32">
        <v>3.7410457550274145</v>
      </c>
      <c r="C40" s="32">
        <v>0</v>
      </c>
    </row>
    <row r="41" spans="1:3" x14ac:dyDescent="0.15">
      <c r="A41" s="2">
        <v>290</v>
      </c>
      <c r="B41" s="32">
        <v>2.4088718211893365</v>
      </c>
      <c r="C41" s="32">
        <v>0</v>
      </c>
    </row>
    <row r="42" spans="1:3" x14ac:dyDescent="0.15">
      <c r="A42" s="2">
        <v>305</v>
      </c>
      <c r="B42" s="32">
        <v>1.5305244719622806</v>
      </c>
      <c r="C42" s="32"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A0FE3-8E31-4748-AB36-F297FAEAD880}">
  <sheetPr codeName="Sheet12"/>
  <dimension ref="A1:K48"/>
  <sheetViews>
    <sheetView topLeftCell="A29" workbookViewId="0">
      <selection activeCell="L68" sqref="L68"/>
    </sheetView>
  </sheetViews>
  <sheetFormatPr baseColWidth="10" defaultRowHeight="14" x14ac:dyDescent="0.15"/>
  <cols>
    <col min="1" max="1" width="17.33203125" style="2" bestFit="1" customWidth="1"/>
    <col min="2" max="3" width="10.83203125" style="2"/>
    <col min="4" max="4" width="32.6640625" style="2" bestFit="1" customWidth="1"/>
    <col min="5" max="5" width="17.6640625" style="2" bestFit="1" customWidth="1"/>
    <col min="6" max="7" width="10.83203125" style="2"/>
    <col min="8" max="8" width="50.5" style="2" bestFit="1" customWidth="1"/>
    <col min="9" max="16384" width="10.83203125" style="2"/>
  </cols>
  <sheetData>
    <row r="1" spans="1:11" x14ac:dyDescent="0.15">
      <c r="B1" s="32"/>
    </row>
    <row r="2" spans="1:11" x14ac:dyDescent="0.15">
      <c r="A2" s="2" t="s">
        <v>241</v>
      </c>
      <c r="B2" s="32">
        <v>213.94</v>
      </c>
    </row>
    <row r="3" spans="1:11" x14ac:dyDescent="0.15">
      <c r="A3" s="2" t="s">
        <v>242</v>
      </c>
      <c r="B3" s="32">
        <v>215</v>
      </c>
    </row>
    <row r="4" spans="1:11" x14ac:dyDescent="0.15">
      <c r="A4" s="2" t="s">
        <v>243</v>
      </c>
      <c r="B4" s="37">
        <v>4.3999999999999997E-2</v>
      </c>
    </row>
    <row r="5" spans="1:11" ht="15" x14ac:dyDescent="0.2">
      <c r="A5" s="2" t="s">
        <v>257</v>
      </c>
      <c r="B5" s="42">
        <v>2.0000000000000001E-4</v>
      </c>
      <c r="C5" s="2" t="s">
        <v>223</v>
      </c>
      <c r="D5" s="22" t="s">
        <v>268</v>
      </c>
      <c r="F5" s="2" t="s">
        <v>256</v>
      </c>
    </row>
    <row r="6" spans="1:11" x14ac:dyDescent="0.15">
      <c r="A6" s="2" t="s">
        <v>244</v>
      </c>
      <c r="B6" s="38">
        <f>5/12</f>
        <v>0.41666666666666669</v>
      </c>
      <c r="E6" s="2" t="s">
        <v>258</v>
      </c>
      <c r="F6" s="43">
        <f>B21</f>
        <v>-0.42292917572018013</v>
      </c>
      <c r="H6" s="2" t="s">
        <v>262</v>
      </c>
      <c r="I6" s="2" t="s">
        <v>259</v>
      </c>
      <c r="J6" s="2" t="s">
        <v>260</v>
      </c>
      <c r="K6" s="2" t="s">
        <v>261</v>
      </c>
    </row>
    <row r="7" spans="1:11" x14ac:dyDescent="0.15">
      <c r="A7" s="2" t="s">
        <v>245</v>
      </c>
      <c r="B7" s="12">
        <v>0.36599999999999999</v>
      </c>
      <c r="E7" s="2">
        <v>5</v>
      </c>
      <c r="F7" s="44">
        <f t="dataTable" ref="F7:F31" dt2D="0" dtr="0" r1="B2" ca="1"/>
        <v>-0.98183369990595415</v>
      </c>
      <c r="H7" s="43">
        <f>B21</f>
        <v>-0.42292917572018013</v>
      </c>
      <c r="I7" s="32">
        <v>200</v>
      </c>
      <c r="J7" s="32">
        <v>213.94</v>
      </c>
      <c r="K7" s="32">
        <v>220</v>
      </c>
    </row>
    <row r="8" spans="1:11" x14ac:dyDescent="0.15">
      <c r="E8" s="2">
        <v>25</v>
      </c>
      <c r="F8" s="44">
        <v>-0.98183369990595415</v>
      </c>
      <c r="H8" s="2">
        <v>0.1</v>
      </c>
      <c r="I8" s="44">
        <f t="dataTable" ref="I8:K44" dt2D="1" dtr="1" r1="B3" r2="B6"/>
        <v>-0.24783475091424603</v>
      </c>
      <c r="J8" s="44">
        <v>-0.45984634434420746</v>
      </c>
      <c r="K8" s="44">
        <v>-0.55544059640720866</v>
      </c>
    </row>
    <row r="9" spans="1:11" x14ac:dyDescent="0.15">
      <c r="B9" s="35"/>
      <c r="E9" s="2">
        <v>45</v>
      </c>
      <c r="F9" s="44">
        <v>-0.98183369984103508</v>
      </c>
      <c r="H9" s="2">
        <v>0.125</v>
      </c>
      <c r="I9" s="44">
        <v>-0.2636442655616516</v>
      </c>
      <c r="J9" s="44">
        <v>-0.45488148161404046</v>
      </c>
      <c r="K9" s="44">
        <v>-0.54035741459854758</v>
      </c>
    </row>
    <row r="10" spans="1:11" x14ac:dyDescent="0.15">
      <c r="B10" s="40"/>
      <c r="E10" s="2">
        <v>65</v>
      </c>
      <c r="F10" s="44">
        <v>-0.98183314669941479</v>
      </c>
      <c r="H10" s="2">
        <v>0.15</v>
      </c>
      <c r="I10" s="44">
        <v>-0.27492006986841111</v>
      </c>
      <c r="J10" s="44">
        <v>-0.45035891177179077</v>
      </c>
      <c r="K10" s="44">
        <v>-0.52831325587614597</v>
      </c>
    </row>
    <row r="11" spans="1:11" x14ac:dyDescent="0.15">
      <c r="E11" s="2">
        <v>85</v>
      </c>
      <c r="F11" s="44">
        <v>-0.98174065693577961</v>
      </c>
      <c r="H11" s="2">
        <v>0.17499999999999999</v>
      </c>
      <c r="I11" s="44">
        <v>-0.28327462040035517</v>
      </c>
      <c r="J11" s="44">
        <v>-0.44617304200562341</v>
      </c>
      <c r="K11" s="44">
        <v>-0.51824955468871903</v>
      </c>
    </row>
    <row r="12" spans="1:11" x14ac:dyDescent="0.15">
      <c r="E12" s="2">
        <v>105</v>
      </c>
      <c r="F12" s="44">
        <v>-0.97960617035940356</v>
      </c>
      <c r="H12" s="2">
        <v>0.2</v>
      </c>
      <c r="I12" s="44">
        <v>-0.2896277593960801</v>
      </c>
      <c r="J12" s="44">
        <v>-0.44225496497099331</v>
      </c>
      <c r="K12" s="44">
        <v>-0.50957190312053013</v>
      </c>
    </row>
    <row r="13" spans="1:11" x14ac:dyDescent="0.15">
      <c r="E13" s="2">
        <v>125</v>
      </c>
      <c r="F13" s="44">
        <v>-0.96430068595354357</v>
      </c>
      <c r="H13" s="2">
        <v>0.22500000000000001</v>
      </c>
      <c r="I13" s="44">
        <v>-0.29454567505042206</v>
      </c>
      <c r="J13" s="44">
        <v>-0.43855674240485448</v>
      </c>
      <c r="K13" s="44">
        <v>-0.5019156595392823</v>
      </c>
    </row>
    <row r="14" spans="1:11" x14ac:dyDescent="0.15">
      <c r="E14" s="2">
        <v>145</v>
      </c>
      <c r="F14" s="44">
        <v>-0.91259512071274129</v>
      </c>
      <c r="H14" s="2">
        <v>0.25</v>
      </c>
      <c r="I14" s="44">
        <v>-0.29839749704058799</v>
      </c>
      <c r="J14" s="44">
        <v>-0.435043415868127</v>
      </c>
      <c r="K14" s="44">
        <v>-0.49504210840819324</v>
      </c>
    </row>
    <row r="15" spans="1:11" x14ac:dyDescent="0.15">
      <c r="A15" s="7" t="s">
        <v>251</v>
      </c>
      <c r="B15" s="45">
        <v>21.44</v>
      </c>
      <c r="E15" s="2">
        <v>165</v>
      </c>
      <c r="F15" s="44">
        <v>-0.80757708292918384</v>
      </c>
      <c r="H15" s="2">
        <v>0.27500000000000002</v>
      </c>
      <c r="I15" s="44">
        <v>-0.30143495883228855</v>
      </c>
      <c r="J15" s="44">
        <v>-0.43168855291768227</v>
      </c>
      <c r="K15" s="44">
        <v>-0.48878697758400497</v>
      </c>
    </row>
    <row r="16" spans="1:11" x14ac:dyDescent="0.15">
      <c r="A16" s="7" t="s">
        <v>250</v>
      </c>
      <c r="B16" s="45">
        <v>18.59</v>
      </c>
      <c r="E16" s="2">
        <v>185</v>
      </c>
      <c r="F16" s="44">
        <v>-0.6581210236411662</v>
      </c>
      <c r="H16" s="2">
        <v>0.3</v>
      </c>
      <c r="I16" s="44">
        <v>-0.30383605911079575</v>
      </c>
      <c r="J16" s="44">
        <v>-0.42847158563602861</v>
      </c>
      <c r="K16" s="44">
        <v>-0.48303266329003164</v>
      </c>
    </row>
    <row r="17" spans="1:11" x14ac:dyDescent="0.15">
      <c r="E17" s="2">
        <v>205</v>
      </c>
      <c r="F17" s="44">
        <v>-0.49335493711898232</v>
      </c>
      <c r="H17" s="2">
        <v>0.32500000000000001</v>
      </c>
      <c r="I17" s="44">
        <v>-0.30573045674108762</v>
      </c>
      <c r="J17" s="44">
        <v>-0.42537613140693481</v>
      </c>
      <c r="K17" s="44">
        <v>-0.47769222278810519</v>
      </c>
    </row>
    <row r="18" spans="1:11" x14ac:dyDescent="0.15">
      <c r="E18" s="2">
        <v>225</v>
      </c>
      <c r="F18" s="44">
        <v>-0.34273841074466127</v>
      </c>
      <c r="H18" s="2">
        <v>0.35</v>
      </c>
      <c r="I18" s="44">
        <v>-0.30721497544014525</v>
      </c>
      <c r="J18" s="44">
        <v>-0.4223888860321442</v>
      </c>
      <c r="K18" s="44">
        <v>-0.47269964574204076</v>
      </c>
    </row>
    <row r="19" spans="1:11" x14ac:dyDescent="0.15">
      <c r="E19" s="2">
        <v>245</v>
      </c>
      <c r="F19" s="44">
        <v>-0.22302545255937825</v>
      </c>
      <c r="H19" s="2">
        <v>0.375</v>
      </c>
      <c r="I19" s="44">
        <v>-0.30836345997194148</v>
      </c>
      <c r="J19" s="44">
        <v>-0.41949886733385366</v>
      </c>
      <c r="K19" s="44">
        <v>-0.46800367727252568</v>
      </c>
    </row>
    <row r="20" spans="1:11" x14ac:dyDescent="0.15">
      <c r="E20" s="2">
        <v>265</v>
      </c>
      <c r="F20" s="44">
        <v>-0.13743663711147563</v>
      </c>
      <c r="H20" s="2">
        <v>0.4</v>
      </c>
      <c r="I20" s="44">
        <v>-0.30923325921229233</v>
      </c>
      <c r="J20" s="44">
        <v>-0.41669688239848673</v>
      </c>
      <c r="K20" s="44">
        <v>-0.46356374965505676</v>
      </c>
    </row>
    <row r="21" spans="1:11" x14ac:dyDescent="0.15">
      <c r="A21" s="36" t="s">
        <v>256</v>
      </c>
      <c r="B21" s="44" cm="1">
        <f t="array" ref="B21">DeltaP(B2,B3,B4,B5,B6,B7)</f>
        <v>-0.42292917572018013</v>
      </c>
      <c r="E21" s="2">
        <v>285</v>
      </c>
      <c r="F21" s="44">
        <v>-8.1011057969084144E-2</v>
      </c>
      <c r="H21" s="2">
        <v>0.42499999999999999</v>
      </c>
      <c r="I21" s="44">
        <v>-0.30986961706063137</v>
      </c>
      <c r="J21" s="44">
        <v>-0.41397514255578705</v>
      </c>
      <c r="K21" s="44">
        <v>-0.45934721794357558</v>
      </c>
    </row>
    <row r="22" spans="1:11" x14ac:dyDescent="0.15">
      <c r="E22" s="2">
        <v>305</v>
      </c>
      <c r="F22" s="44">
        <v>-4.6069403848148234E-2</v>
      </c>
      <c r="H22" s="2">
        <v>0.45</v>
      </c>
      <c r="I22" s="44">
        <v>-0.31030872271259818</v>
      </c>
      <c r="J22" s="44">
        <v>-0.4113269788839648</v>
      </c>
      <c r="K22" s="44">
        <v>-0.4553274304402386</v>
      </c>
    </row>
    <row r="23" spans="1:11" x14ac:dyDescent="0.15">
      <c r="E23" s="2">
        <v>325</v>
      </c>
      <c r="F23" s="44">
        <v>-2.5458616331470254E-2</v>
      </c>
      <c r="H23" s="2">
        <v>0.47499999999999998</v>
      </c>
      <c r="I23" s="44">
        <v>-0.31057987715540042</v>
      </c>
      <c r="J23" s="44">
        <v>-0.40874662789226685</v>
      </c>
      <c r="K23" s="44">
        <v>-0.4514823499968133</v>
      </c>
    </row>
    <row r="24" spans="1:11" x14ac:dyDescent="0.15">
      <c r="E24" s="2">
        <v>345</v>
      </c>
      <c r="F24" s="44">
        <v>-1.3752996630860017E-2</v>
      </c>
      <c r="H24" s="2">
        <v>0.5</v>
      </c>
      <c r="I24" s="44">
        <v>-0.31070706237751661</v>
      </c>
      <c r="J24" s="44">
        <v>-0.4062290673034662</v>
      </c>
      <c r="K24" s="44">
        <v>-0.44779354842788743</v>
      </c>
    </row>
    <row r="25" spans="1:11" x14ac:dyDescent="0.15">
      <c r="E25" s="2">
        <v>365</v>
      </c>
      <c r="F25" s="44">
        <v>-7.2983895740032553E-3</v>
      </c>
      <c r="H25" s="2">
        <v>0.52500000000000002</v>
      </c>
      <c r="I25" s="44">
        <v>-0.31071009792319282</v>
      </c>
      <c r="J25" s="44">
        <v>-0.40376988831564725</v>
      </c>
      <c r="K25" s="44">
        <v>-0.44424545957463468</v>
      </c>
    </row>
    <row r="26" spans="1:11" x14ac:dyDescent="0.15">
      <c r="E26" s="2">
        <v>385</v>
      </c>
      <c r="F26" s="44">
        <v>-3.8200554603267712E-3</v>
      </c>
      <c r="H26" s="2">
        <v>0.55000000000000004</v>
      </c>
      <c r="I26" s="44">
        <v>-0.31060550669673731</v>
      </c>
      <c r="J26" s="44">
        <v>-0.40136519489545192</v>
      </c>
      <c r="K26" s="44">
        <v>-0.44082481539687929</v>
      </c>
    </row>
    <row r="27" spans="1:11" x14ac:dyDescent="0.15">
      <c r="E27" s="2">
        <v>405</v>
      </c>
      <c r="F27" s="44">
        <v>-1.9786028347654654E-3</v>
      </c>
      <c r="H27" s="2">
        <v>0.57499999999999996</v>
      </c>
      <c r="I27" s="44">
        <v>-0.31040717226828057</v>
      </c>
      <c r="J27" s="44">
        <v>-0.39901152341845109</v>
      </c>
      <c r="K27" s="44">
        <v>-0.43752021398481072</v>
      </c>
    </row>
    <row r="28" spans="1:11" x14ac:dyDescent="0.15">
      <c r="E28" s="2">
        <v>425</v>
      </c>
      <c r="F28" s="44">
        <v>-1.0168865776316797E-3</v>
      </c>
      <c r="H28" s="2">
        <v>0.6</v>
      </c>
      <c r="I28" s="44">
        <v>-0.31012684426879306</v>
      </c>
      <c r="J28" s="44">
        <v>-0.39670577784287875</v>
      </c>
      <c r="K28" s="44">
        <v>-0.43432178423951245</v>
      </c>
    </row>
    <row r="29" spans="1:11" x14ac:dyDescent="0.15">
      <c r="E29" s="2">
        <v>445</v>
      </c>
      <c r="F29" s="44">
        <v>-5.1973533512660963E-4</v>
      </c>
      <c r="H29" s="2">
        <v>0.625</v>
      </c>
      <c r="I29" s="44">
        <v>-0.30977453149701539</v>
      </c>
      <c r="J29" s="44">
        <v>-0.39444517689420622</v>
      </c>
      <c r="K29" s="44">
        <v>-0.4312209224592235</v>
      </c>
    </row>
    <row r="30" spans="1:11" x14ac:dyDescent="0.15">
      <c r="E30" s="2">
        <v>465</v>
      </c>
      <c r="F30" s="44">
        <v>-2.646605710181934E-4</v>
      </c>
      <c r="H30" s="2">
        <v>0.65</v>
      </c>
      <c r="I30" s="44">
        <v>-0.30935881092910961</v>
      </c>
      <c r="J30" s="44">
        <v>-0.39222721064529514</v>
      </c>
      <c r="K30" s="44">
        <v>-0.42821008314435743</v>
      </c>
    </row>
    <row r="31" spans="1:11" x14ac:dyDescent="0.15">
      <c r="E31" s="2">
        <v>485</v>
      </c>
      <c r="F31" s="44">
        <v>-1.3447956739282523E-4</v>
      </c>
      <c r="H31" s="2">
        <v>0.67500000000000004</v>
      </c>
      <c r="I31" s="44">
        <v>-0.3088870729830463</v>
      </c>
      <c r="J31" s="44">
        <v>-0.39004960452465909</v>
      </c>
      <c r="K31" s="44">
        <v>-0.42528261119589095</v>
      </c>
    </row>
    <row r="32" spans="1:11" x14ac:dyDescent="0.15">
      <c r="D32" s="36" t="s">
        <v>254</v>
      </c>
      <c r="H32" s="2">
        <v>0.7</v>
      </c>
      <c r="I32" s="44">
        <v>-0.30836571792834311</v>
      </c>
      <c r="J32" s="44">
        <v>-0.38791028925473453</v>
      </c>
      <c r="K32" s="44">
        <v>-0.42243260607750577</v>
      </c>
    </row>
    <row r="33" spans="8:11" x14ac:dyDescent="0.15">
      <c r="H33" s="2">
        <v>0.72499999999999998</v>
      </c>
      <c r="I33" s="44">
        <v>-0.30780031447068795</v>
      </c>
      <c r="J33" s="44">
        <v>-0.38580737556674155</v>
      </c>
      <c r="K33" s="44">
        <v>-0.41965481091996382</v>
      </c>
    </row>
    <row r="34" spans="8:11" x14ac:dyDescent="0.15">
      <c r="H34" s="2">
        <v>0.75</v>
      </c>
      <c r="I34" s="44">
        <v>-0.30719572877427492</v>
      </c>
      <c r="J34" s="44">
        <v>-0.38373913279498323</v>
      </c>
      <c r="K34" s="44">
        <v>-0.41694452127780346</v>
      </c>
    </row>
    <row r="35" spans="8:11" x14ac:dyDescent="0.15">
      <c r="H35" s="2">
        <v>0.77500000000000002</v>
      </c>
      <c r="I35" s="44">
        <v>-0.3065562301773454</v>
      </c>
      <c r="J35" s="44">
        <v>-0.38170397064613548</v>
      </c>
      <c r="K35" s="44">
        <v>-0.41429750950968985</v>
      </c>
    </row>
    <row r="36" spans="8:11" x14ac:dyDescent="0.15">
      <c r="H36" s="2">
        <v>0.8</v>
      </c>
      <c r="I36" s="44">
        <v>-0.30588557838315145</v>
      </c>
      <c r="J36" s="44">
        <v>-0.3797004235855424</v>
      </c>
      <c r="K36" s="44">
        <v>-0.41170996168337365</v>
      </c>
    </row>
    <row r="37" spans="8:11" x14ac:dyDescent="0.15">
      <c r="H37" s="2">
        <v>0.82499999999999996</v>
      </c>
      <c r="I37" s="44">
        <v>-0.30518709581560038</v>
      </c>
      <c r="J37" s="44">
        <v>-0.37772713739491381</v>
      </c>
      <c r="K37" s="44">
        <v>-0.40917842459900244</v>
      </c>
    </row>
    <row r="38" spans="8:11" x14ac:dyDescent="0.15">
      <c r="H38" s="2">
        <v>0.85</v>
      </c>
      <c r="I38" s="44">
        <v>-0.30446372800988619</v>
      </c>
      <c r="J38" s="44">
        <v>-0.37578285754287621</v>
      </c>
      <c r="K38" s="44">
        <v>-0.40669976104614364</v>
      </c>
    </row>
    <row r="39" spans="8:11" x14ac:dyDescent="0.15">
      <c r="H39" s="2">
        <v>0.875</v>
      </c>
      <c r="I39" s="44">
        <v>-0.30371809428901853</v>
      </c>
      <c r="J39" s="44">
        <v>-0.37386641907780771</v>
      </c>
      <c r="K39" s="44">
        <v>-0.40427111180638892</v>
      </c>
    </row>
    <row r="40" spans="8:11" x14ac:dyDescent="0.15">
      <c r="H40" s="2">
        <v>0.9</v>
      </c>
      <c r="I40" s="44">
        <v>-0.30295253050459425</v>
      </c>
      <c r="J40" s="44">
        <v>-0.37197673780592067</v>
      </c>
      <c r="K40" s="44">
        <v>-0.40188986321753167</v>
      </c>
    </row>
    <row r="41" spans="8:11" x14ac:dyDescent="0.15">
      <c r="H41" s="2">
        <v>0.92500000000000004</v>
      </c>
      <c r="I41" s="44">
        <v>-0.30216912525663181</v>
      </c>
      <c r="J41" s="44">
        <v>-0.37011280256000717</v>
      </c>
      <c r="K41" s="44">
        <v>-0.39955361935053857</v>
      </c>
    </row>
    <row r="42" spans="8:11" x14ac:dyDescent="0.15">
      <c r="H42" s="2">
        <v>0.95</v>
      </c>
      <c r="I42" s="44">
        <v>-0.30136975072550432</v>
      </c>
      <c r="J42" s="44">
        <v>-0.36827366839818032</v>
      </c>
      <c r="K42" s="44">
        <v>-0.39726017803390734</v>
      </c>
    </row>
    <row r="43" spans="8:11" x14ac:dyDescent="0.15">
      <c r="H43" s="2">
        <v>0.97499999999999998</v>
      </c>
      <c r="I43" s="44">
        <v>-0.30055608902896425</v>
      </c>
      <c r="J43" s="44">
        <v>-0.36645845059920729</v>
      </c>
      <c r="K43" s="44">
        <v>-0.39500751010403162</v>
      </c>
    </row>
    <row r="44" spans="8:11" x14ac:dyDescent="0.15">
      <c r="H44" s="2">
        <v>1</v>
      </c>
      <c r="I44" s="44">
        <v>-0.29972965484427821</v>
      </c>
      <c r="J44" s="44">
        <v>-0.36466631934309501</v>
      </c>
      <c r="K44" s="44">
        <v>-0.39279374137408807</v>
      </c>
    </row>
    <row r="48" spans="8:11" x14ac:dyDescent="0.15">
      <c r="H48" s="36" t="s">
        <v>255</v>
      </c>
    </row>
  </sheetData>
  <hyperlinks>
    <hyperlink ref="D5" r:id="rId1" xr:uid="{4802FFCF-5A2C-1542-A9D0-2FCDF6603CC4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08C44D-DA48-1440-BB23-CE148070EE9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41bf7de-e2e5-46df-8d67-82607df9deaa}" enabled="0" method="" siteId="{741bf7de-e2e5-46df-8d67-82607df9dea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NVDA Stock Price History </vt:lpstr>
      <vt:lpstr>JPM Stock Price History</vt:lpstr>
      <vt:lpstr>JNJ Stock Price History </vt:lpstr>
      <vt:lpstr>Portfolio</vt:lpstr>
      <vt:lpstr>AvgMonthlyReturns&amp;SD</vt:lpstr>
      <vt:lpstr>Sample VarianceCoVarMatrix</vt:lpstr>
      <vt:lpstr>Efficient Frontier</vt:lpstr>
      <vt:lpstr>RiskFreeAsset+CML</vt:lpstr>
      <vt:lpstr>Market Portfolio</vt:lpstr>
      <vt:lpstr>Put</vt:lpstr>
      <vt:lpstr>BSM</vt:lpstr>
      <vt:lpstr>Delta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Chelsea Anestal</cp:lastModifiedBy>
  <cp:revision/>
  <dcterms:created xsi:type="dcterms:W3CDTF">2026-04-28T18:39:10Z</dcterms:created>
  <dcterms:modified xsi:type="dcterms:W3CDTF">2026-05-03T12:03:27Z</dcterms:modified>
  <cp:category/>
  <cp:contentStatus/>
</cp:coreProperties>
</file>