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9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fedu-my.sharepoint.com/personal/cta1_usf_edu/Documents/Coursework/Spring 2026/Financial Modeling and Analytics/Mod 6 - Options/"/>
    </mc:Choice>
  </mc:AlternateContent>
  <xr:revisionPtr revIDLastSave="246" documentId="8_{EB31735B-91F4-DB49-8103-9F3D34FFF1AC}" xr6:coauthVersionLast="47" xr6:coauthVersionMax="47" xr10:uidLastSave="{70788563-F190-417E-8AA1-591E15D56647}"/>
  <bookViews>
    <workbookView xWindow="15640" yWindow="500" windowWidth="13120" windowHeight="17060" firstSheet="1" activeTab="1" xr2:uid="{00000000-000D-0000-FFFF-FFFF00000000}"/>
  </bookViews>
  <sheets>
    <sheet name="Option Payoff" sheetId="2" r:id="rId1"/>
    <sheet name="Payoff Pattern" sheetId="1" r:id="rId2"/>
    <sheet name="Protective Put" sheetId="3" r:id="rId3"/>
    <sheet name="Bull Spread" sheetId="4" r:id="rId4"/>
    <sheet name="Black-Scholes" sheetId="5" r:id="rId5"/>
    <sheet name="BSM VBA" sheetId="6" r:id="rId6"/>
    <sheet name="Greeks" sheetId="7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5" l="1"/>
  <c r="B9" i="5"/>
  <c r="B12" i="5" s="1"/>
  <c r="C16" i="4"/>
  <c r="B16" i="4"/>
  <c r="B11" i="4"/>
  <c r="B10" i="4"/>
  <c r="B12" i="4" s="1"/>
  <c r="B10" i="3"/>
  <c r="C14" i="3" s="1"/>
  <c r="B9" i="3"/>
  <c r="B11" i="3" s="1"/>
  <c r="D14" i="3" s="1"/>
  <c r="B16" i="1"/>
  <c r="G20" i="1" s="1"/>
  <c r="B15" i="1"/>
  <c r="F20" i="1" s="1"/>
  <c r="B11" i="1"/>
  <c r="E20" i="1" s="1"/>
  <c r="B10" i="1"/>
  <c r="D20" i="1" s="1"/>
  <c r="B6" i="1"/>
  <c r="C20" i="1" s="1"/>
  <c r="B5" i="1"/>
  <c r="B20" i="1" s="1"/>
  <c r="I4" i="6" a="1"/>
  <c r="B9" i="6" a="1"/>
  <c r="B8" i="6" a="1"/>
  <c r="C15" i="7" a="1"/>
  <c r="B9" i="7" a="1"/>
  <c r="B8" i="7" a="1"/>
  <c r="B15" i="7" a="1"/>
  <c r="B14" i="7" a="1"/>
  <c r="B13" i="7" a="1"/>
  <c r="C16" i="7" a="1"/>
  <c r="B16" i="7" a="1"/>
  <c r="C12" i="7" a="1"/>
  <c r="B12" i="7" a="1"/>
  <c r="C16" i="7" l="1"/>
  <c r="B16" i="7"/>
  <c r="C15" i="7"/>
  <c r="I2" i="7" s="1"/>
  <c r="B15" i="7"/>
  <c r="B14" i="7"/>
  <c r="B13" i="7"/>
  <c r="C12" i="7"/>
  <c r="T2" i="7" s="1"/>
  <c r="B12" i="7"/>
  <c r="B8" i="7"/>
  <c r="B9" i="7"/>
  <c r="I4" i="6"/>
  <c r="B9" i="6"/>
  <c r="C13" i="6" s="1"/>
  <c r="B8" i="6"/>
  <c r="B13" i="6" s="1"/>
  <c r="B10" i="5"/>
  <c r="B13" i="5" s="1"/>
  <c r="B15" i="5" s="1"/>
  <c r="D16" i="4"/>
  <c r="B14" i="3"/>
  <c r="H2" i="7" l="1"/>
  <c r="G27" i="7"/>
  <c r="S2" i="7"/>
  <c r="R27" i="7"/>
  <c r="B21" i="5"/>
  <c r="B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<sst xmlns="http://schemas.openxmlformats.org/spreadsheetml/2006/main" count="125" uniqueCount="82">
  <si>
    <t>Call Option Payoff Patterns</t>
  </si>
  <si>
    <t xml:space="preserve">Time 0         </t>
  </si>
  <si>
    <t>Time T</t>
  </si>
  <si>
    <t>Purchase call option,
cash flow &lt; 0</t>
  </si>
  <si>
    <r>
      <t>Terminal call payoff,
Max[</t>
    </r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T</t>
    </r>
    <r>
      <rPr>
        <i/>
        <sz val="10"/>
        <rFont val="Arial"/>
        <family val="2"/>
      </rPr>
      <t xml:space="preserve"> - X,0</t>
    </r>
    <r>
      <rPr>
        <sz val="10"/>
        <rFont val="Arial"/>
        <family val="2"/>
      </rPr>
      <t xml:space="preserve">] </t>
    </r>
    <r>
      <rPr>
        <u/>
        <sz val="10"/>
        <rFont val="Arial"/>
        <family val="2"/>
      </rPr>
      <t>&gt;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0</t>
    </r>
  </si>
  <si>
    <t>Cash flows
of call buyer</t>
  </si>
  <si>
    <r>
      <t xml:space="preserve">Between times </t>
    </r>
    <r>
      <rPr>
        <i/>
        <sz val="10"/>
        <rFont val="Arial"/>
        <family val="2"/>
      </rPr>
      <t>0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</t>
    </r>
    <r>
      <rPr>
        <sz val="10"/>
        <rFont val="Arial"/>
        <family val="2"/>
      </rPr>
      <t xml:space="preserve">:
Cash flow = 0 for European option
Cash flow </t>
    </r>
    <r>
      <rPr>
        <u/>
        <sz val="10"/>
        <rFont val="Arial"/>
        <family val="2"/>
      </rPr>
      <t>&gt;</t>
    </r>
    <r>
      <rPr>
        <sz val="10"/>
        <rFont val="Arial"/>
        <family val="2"/>
      </rPr>
      <t xml:space="preserve"> 0 for American option</t>
    </r>
  </si>
  <si>
    <t>Write (I.e., issue) call option,
cash flow &gt; 0</t>
  </si>
  <si>
    <r>
      <t>Pay terminal call payoff
- Max[</t>
    </r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T</t>
    </r>
    <r>
      <rPr>
        <i/>
        <sz val="10"/>
        <rFont val="Arial"/>
        <family val="2"/>
      </rPr>
      <t xml:space="preserve"> - X, 0</t>
    </r>
    <r>
      <rPr>
        <sz val="10"/>
        <rFont val="Arial"/>
        <family val="2"/>
      </rPr>
      <t xml:space="preserve">]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0</t>
    </r>
  </si>
  <si>
    <t>Cash flows
of call writer</t>
  </si>
  <si>
    <r>
      <t xml:space="preserve">Between times </t>
    </r>
    <r>
      <rPr>
        <i/>
        <sz val="10"/>
        <rFont val="Arial"/>
        <family val="2"/>
      </rPr>
      <t>0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</t>
    </r>
    <r>
      <rPr>
        <sz val="10"/>
        <rFont val="Arial"/>
        <family val="2"/>
      </rPr>
      <t xml:space="preserve">:
Cash flow = 0 for European option
Cash flow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0 for American option</t>
    </r>
  </si>
  <si>
    <t>Put Option Payoff Patterns</t>
  </si>
  <si>
    <t>Purchase put option,
cash flow &lt; 0</t>
  </si>
  <si>
    <r>
      <t>Terminal put payoff,
Max[</t>
    </r>
    <r>
      <rPr>
        <i/>
        <sz val="10"/>
        <rFont val="Arial"/>
        <family val="2"/>
      </rPr>
      <t>X - S</t>
    </r>
    <r>
      <rPr>
        <i/>
        <vertAlign val="subscript"/>
        <sz val="10"/>
        <rFont val="Arial"/>
        <family val="2"/>
      </rPr>
      <t>T</t>
    </r>
    <r>
      <rPr>
        <sz val="10"/>
        <rFont val="Arial"/>
        <family val="2"/>
      </rPr>
      <t>,</t>
    </r>
    <r>
      <rPr>
        <i/>
        <sz val="10"/>
        <rFont val="Arial"/>
        <family val="2"/>
      </rPr>
      <t>0</t>
    </r>
    <r>
      <rPr>
        <sz val="10"/>
        <rFont val="Arial"/>
        <family val="2"/>
      </rPr>
      <t xml:space="preserve">] </t>
    </r>
    <r>
      <rPr>
        <u/>
        <sz val="10"/>
        <rFont val="Arial"/>
        <family val="2"/>
      </rPr>
      <t>&gt;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0</t>
    </r>
  </si>
  <si>
    <t>Cash flows
of put buyer</t>
  </si>
  <si>
    <r>
      <t>Pay terminal call payoff
- Max[</t>
    </r>
    <r>
      <rPr>
        <i/>
        <sz val="10"/>
        <rFont val="Arial"/>
        <family val="2"/>
      </rPr>
      <t>X - S</t>
    </r>
    <r>
      <rPr>
        <i/>
        <vertAlign val="subscript"/>
        <sz val="10"/>
        <rFont val="Arial"/>
        <family val="2"/>
      </rPr>
      <t>T</t>
    </r>
    <r>
      <rPr>
        <i/>
        <sz val="10"/>
        <rFont val="Arial"/>
        <family val="2"/>
      </rPr>
      <t>, 0</t>
    </r>
    <r>
      <rPr>
        <sz val="10"/>
        <rFont val="Arial"/>
        <family val="2"/>
      </rPr>
      <t xml:space="preserve">] 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0</t>
    </r>
  </si>
  <si>
    <t>Cash flows
of put writer</t>
  </si>
  <si>
    <t>Initial stock price S0</t>
  </si>
  <si>
    <t>Terminal Stock Price St</t>
  </si>
  <si>
    <t>Profit from buying stock</t>
  </si>
  <si>
    <t>Profit from shorting the stock</t>
  </si>
  <si>
    <t>Call exercise price</t>
  </si>
  <si>
    <t>Call price</t>
  </si>
  <si>
    <t>Profit from buying call</t>
  </si>
  <si>
    <t>Profit from selling call</t>
  </si>
  <si>
    <t>Put exercise price</t>
  </si>
  <si>
    <t>Put price</t>
  </si>
  <si>
    <t>Profit from buying put</t>
  </si>
  <si>
    <t>Profit from selling put</t>
  </si>
  <si>
    <t>Terminal stock price</t>
  </si>
  <si>
    <t>Profit from buying protective put</t>
  </si>
  <si>
    <t>Synthetic long call</t>
  </si>
  <si>
    <t>Call 1 Exercise price</t>
  </si>
  <si>
    <t>Call 1 Price</t>
  </si>
  <si>
    <t>Call 2 Exercise price</t>
  </si>
  <si>
    <t>Call 2 Price</t>
  </si>
  <si>
    <t>Profit from buying call 1</t>
  </si>
  <si>
    <t>Profit from selling call 2</t>
  </si>
  <si>
    <t>Bull spread</t>
  </si>
  <si>
    <t>Optimistic strategy, designed to profit from a moderate increase in price</t>
  </si>
  <si>
    <t>Common stock price S</t>
  </si>
  <si>
    <t>Exercise price X</t>
  </si>
  <si>
    <t>Risk-free rate r</t>
  </si>
  <si>
    <t>Time to maturity T</t>
  </si>
  <si>
    <t>Stock volatility sigma</t>
  </si>
  <si>
    <t>d1</t>
  </si>
  <si>
    <t>d2</t>
  </si>
  <si>
    <t>N(d1)</t>
  </si>
  <si>
    <t>N(d2)</t>
  </si>
  <si>
    <t>Call Price</t>
  </si>
  <si>
    <t>Put Price</t>
  </si>
  <si>
    <t>Put-call parity</t>
  </si>
  <si>
    <t>P+S=C+Xe(-rT)</t>
  </si>
  <si>
    <t>Option's intrinsic value</t>
  </si>
  <si>
    <t>Current stock price</t>
  </si>
  <si>
    <t>Stock Price</t>
  </si>
  <si>
    <t>Observed call price</t>
  </si>
  <si>
    <t>Exercise Price</t>
  </si>
  <si>
    <t>Interest rate</t>
  </si>
  <si>
    <t>Implied volatility</t>
  </si>
  <si>
    <t>Dividend yield</t>
  </si>
  <si>
    <t>Sigma</t>
  </si>
  <si>
    <t>Stock price</t>
  </si>
  <si>
    <t>Call theta</t>
  </si>
  <si>
    <t>Put theta</t>
  </si>
  <si>
    <t>Call delta</t>
  </si>
  <si>
    <t>Put delta</t>
  </si>
  <si>
    <t>Theta with stock price</t>
  </si>
  <si>
    <t>Delta with stock price</t>
  </si>
  <si>
    <t>Greeks</t>
  </si>
  <si>
    <t>Call</t>
  </si>
  <si>
    <t>Put</t>
  </si>
  <si>
    <t>Delta</t>
  </si>
  <si>
    <t>Gamma</t>
  </si>
  <si>
    <t>Vega</t>
  </si>
  <si>
    <t>Theta</t>
  </si>
  <si>
    <t>Rho</t>
  </si>
  <si>
    <t>Call Theta with time to expiration</t>
  </si>
  <si>
    <t>In-the-money</t>
  </si>
  <si>
    <t>At-the-money</t>
  </si>
  <si>
    <t>Out-of-Money</t>
  </si>
  <si>
    <t>Call Delta with time to expiration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</si>
</sst>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1" fillId="0" borderId="4" xfId="1" applyBorder="1"/>
    <xf numFmtId="0" fontId="1" fillId="0" borderId="5" xfId="1" applyBorder="1"/>
    <xf numFmtId="0" fontId="3" fillId="0" borderId="4" xfId="1" applyFont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5" xfId="1" applyFont="1" applyBorder="1" applyAlignment="1">
      <alignment horizontal="center"/>
    </xf>
    <xf numFmtId="0" fontId="1" fillId="0" borderId="0" xfId="1" applyAlignment="1">
      <alignment wrapText="1"/>
    </xf>
    <xf numFmtId="0" fontId="1" fillId="0" borderId="5" xfId="1" applyBorder="1" applyAlignment="1">
      <alignment wrapText="1"/>
    </xf>
    <xf numFmtId="0" fontId="1" fillId="0" borderId="6" xfId="1" applyBorder="1"/>
    <xf numFmtId="0" fontId="1" fillId="0" borderId="7" xfId="1" applyBorder="1"/>
    <xf numFmtId="0" fontId="1" fillId="0" borderId="8" xfId="1" applyBorder="1"/>
    <xf numFmtId="44" fontId="0" fillId="0" borderId="0" xfId="3" applyFont="1"/>
    <xf numFmtId="44" fontId="0" fillId="0" borderId="0" xfId="0" applyNumberFormat="1"/>
    <xf numFmtId="9" fontId="0" fillId="0" borderId="0" xfId="0" applyNumberFormat="1"/>
    <xf numFmtId="10" fontId="0" fillId="0" borderId="0" xfId="4" applyNumberFormat="1" applyFont="1"/>
    <xf numFmtId="43" fontId="0" fillId="0" borderId="0" xfId="2" applyFont="1"/>
    <xf numFmtId="43" fontId="0" fillId="0" borderId="0" xfId="0" applyNumberFormat="1"/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</cellXfs>
  <cellStyles count="5">
    <cellStyle name="Comma" xfId="2" builtinId="3"/>
    <cellStyle name="Currency" xfId="3" builtinId="4"/>
    <cellStyle name="Normal" xfId="0" builtinId="0"/>
    <cellStyle name="Normal 2" xfId="1" xr:uid="{1F62E7BF-92AA-4FA9-913C-066440CF392B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'Payoff Pattern'!$B$19</c:f>
              <c:strCache>
                <c:ptCount val="1"/>
                <c:pt idx="0">
                  <c:v>Profit from buying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Pattern'!$B$21:$B$41</c:f>
              <c:numCache>
                <c:formatCode>_("$"* #,##0.00_);_("$"* \(#,##0.00\);_("$"* "-"??_);_(@_)</c:formatCode>
                <c:ptCount val="21"/>
                <c:pt idx="0">
                  <c:v>-40</c:v>
                </c:pt>
                <c:pt idx="1">
                  <c:v>-35</c:v>
                </c:pt>
                <c:pt idx="2">
                  <c:v>-30</c:v>
                </c:pt>
                <c:pt idx="3">
                  <c:v>-25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  <c:pt idx="2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4-1C4C-9C60-D61B96F5F210}"/>
            </c:ext>
          </c:extLst>
        </c:ser>
        <c:ser>
          <c:idx val="1"/>
          <c:order val="1"/>
          <c:tx>
            <c:strRef>
              <c:f>'Payoff Pattern'!$C$19</c:f>
              <c:strCache>
                <c:ptCount val="1"/>
                <c:pt idx="0">
                  <c:v>Profit from shorting the stock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Pattern'!$C$21:$C$41</c:f>
              <c:numCache>
                <c:formatCode>_("$"* #,##0.00_);_("$"* \(#,##0.00\);_("$"* "-"??_);_(@_)</c:formatCode>
                <c:ptCount val="21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25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-5</c:v>
                </c:pt>
                <c:pt idx="10">
                  <c:v>-10</c:v>
                </c:pt>
                <c:pt idx="11">
                  <c:v>-15</c:v>
                </c:pt>
                <c:pt idx="12">
                  <c:v>-20</c:v>
                </c:pt>
                <c:pt idx="13">
                  <c:v>-25</c:v>
                </c:pt>
                <c:pt idx="14">
                  <c:v>-30</c:v>
                </c:pt>
                <c:pt idx="15">
                  <c:v>-35</c:v>
                </c:pt>
                <c:pt idx="16">
                  <c:v>-40</c:v>
                </c:pt>
                <c:pt idx="17">
                  <c:v>-45</c:v>
                </c:pt>
                <c:pt idx="18">
                  <c:v>-50</c:v>
                </c:pt>
                <c:pt idx="19">
                  <c:v>-55</c:v>
                </c:pt>
                <c:pt idx="20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4-1C4C-9C60-D61B96F5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528640"/>
        <c:axId val="1805629280"/>
      </c:scatterChart>
      <c:valAx>
        <c:axId val="146252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629280"/>
        <c:crosses val="autoZero"/>
        <c:crossBetween val="midCat"/>
      </c:valAx>
      <c:valAx>
        <c:axId val="180562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52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option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'Payoff Pattern'!$D$19</c:f>
              <c:strCache>
                <c:ptCount val="1"/>
                <c:pt idx="0">
                  <c:v>Profit from buying 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Pattern'!$D$21:$D$41</c:f>
              <c:numCache>
                <c:formatCode>_("$"* #,##0.00_);_("$"* \(#,##0.00\);_("$"* "-"??_);_(@_)</c:formatCode>
                <c:ptCount val="21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1</c:v>
                </c:pt>
                <c:pt idx="10">
                  <c:v>6</c:v>
                </c:pt>
                <c:pt idx="11">
                  <c:v>11</c:v>
                </c:pt>
                <c:pt idx="12">
                  <c:v>16</c:v>
                </c:pt>
                <c:pt idx="13">
                  <c:v>21</c:v>
                </c:pt>
                <c:pt idx="14">
                  <c:v>26</c:v>
                </c:pt>
                <c:pt idx="15">
                  <c:v>31</c:v>
                </c:pt>
                <c:pt idx="16">
                  <c:v>36</c:v>
                </c:pt>
                <c:pt idx="17">
                  <c:v>41</c:v>
                </c:pt>
                <c:pt idx="18">
                  <c:v>46</c:v>
                </c:pt>
                <c:pt idx="19">
                  <c:v>51</c:v>
                </c:pt>
                <c:pt idx="20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B-864C-8FF1-5E995CAF1341}"/>
            </c:ext>
          </c:extLst>
        </c:ser>
        <c:ser>
          <c:idx val="1"/>
          <c:order val="1"/>
          <c:tx>
            <c:strRef>
              <c:f>'Payoff Pattern'!$E$19</c:f>
              <c:strCache>
                <c:ptCount val="1"/>
                <c:pt idx="0">
                  <c:v>Profit from selling call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Pattern'!$E$21:$E$41</c:f>
              <c:numCache>
                <c:formatCode>_("$"* #,##0.00_);_("$"* \(#,##0.00\);_("$"* "-"??_);_(@_)</c:formatCode>
                <c:ptCount val="2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-1</c:v>
                </c:pt>
                <c:pt idx="10">
                  <c:v>-6</c:v>
                </c:pt>
                <c:pt idx="11">
                  <c:v>-11</c:v>
                </c:pt>
                <c:pt idx="12">
                  <c:v>-16</c:v>
                </c:pt>
                <c:pt idx="13">
                  <c:v>-21</c:v>
                </c:pt>
                <c:pt idx="14">
                  <c:v>-26</c:v>
                </c:pt>
                <c:pt idx="15">
                  <c:v>-31</c:v>
                </c:pt>
                <c:pt idx="16">
                  <c:v>-36</c:v>
                </c:pt>
                <c:pt idx="17">
                  <c:v>-41</c:v>
                </c:pt>
                <c:pt idx="18">
                  <c:v>-46</c:v>
                </c:pt>
                <c:pt idx="19">
                  <c:v>-51</c:v>
                </c:pt>
                <c:pt idx="20">
                  <c:v>-56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B-864C-8FF1-5E995CAF1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612384"/>
        <c:axId val="1726259216"/>
      </c:scatterChart>
      <c:valAx>
        <c:axId val="169461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259216"/>
        <c:crosses val="autoZero"/>
        <c:crossBetween val="midCat"/>
      </c:valAx>
      <c:valAx>
        <c:axId val="1726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61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option profit patterns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'Payoff Pattern'!$F$19</c:f>
              <c:strCache>
                <c:ptCount val="1"/>
                <c:pt idx="0">
                  <c:v>Profit from buying put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Pattern'!$F$21:$F$41</c:f>
              <c:numCache>
                <c:formatCode>_("$"* #,##0.00_);_("$"* \(#,##0.00\);_("$"* "-"??_);_(@_)</c:formatCode>
                <c:ptCount val="21"/>
                <c:pt idx="0">
                  <c:v>38</c:v>
                </c:pt>
                <c:pt idx="1">
                  <c:v>33</c:v>
                </c:pt>
                <c:pt idx="2">
                  <c:v>28</c:v>
                </c:pt>
                <c:pt idx="3">
                  <c:v>23</c:v>
                </c:pt>
                <c:pt idx="4">
                  <c:v>18</c:v>
                </c:pt>
                <c:pt idx="5">
                  <c:v>13</c:v>
                </c:pt>
                <c:pt idx="6">
                  <c:v>8</c:v>
                </c:pt>
                <c:pt idx="7">
                  <c:v>3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3-BF4A-AC83-86871BEA09E4}"/>
            </c:ext>
          </c:extLst>
        </c:ser>
        <c:ser>
          <c:idx val="1"/>
          <c:order val="1"/>
          <c:tx>
            <c:strRef>
              <c:f>'Payoff Pattern'!$G$19</c:f>
              <c:strCache>
                <c:ptCount val="1"/>
                <c:pt idx="0">
                  <c:v>Profit from selling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'Payoff Pattern'!$A$21:$A$41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'Payoff Pattern'!$G$21:$G$41</c:f>
              <c:numCache>
                <c:formatCode>_("$"* #,##0.00_);_("$"* \(#,##0.00\);_("$"* "-"??_);_(@_)</c:formatCode>
                <c:ptCount val="21"/>
                <c:pt idx="0">
                  <c:v>-38</c:v>
                </c:pt>
                <c:pt idx="1">
                  <c:v>-33</c:v>
                </c:pt>
                <c:pt idx="2">
                  <c:v>-28</c:v>
                </c:pt>
                <c:pt idx="3">
                  <c:v>-23</c:v>
                </c:pt>
                <c:pt idx="4">
                  <c:v>-18</c:v>
                </c:pt>
                <c:pt idx="5">
                  <c:v>-13</c:v>
                </c:pt>
                <c:pt idx="6">
                  <c:v>-8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3-BF4A-AC83-86871BEA0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04112"/>
        <c:axId val="781757632"/>
      </c:scatterChart>
      <c:valAx>
        <c:axId val="78170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57632"/>
        <c:crosses val="autoZero"/>
        <c:crossBetween val="midCat"/>
      </c:valAx>
      <c:valAx>
        <c:axId val="78175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0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Protective 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'Protective Put'!$B$13</c:f>
              <c:strCache>
                <c:ptCount val="1"/>
                <c:pt idx="0">
                  <c:v>Profit from buying stock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'Protective Put'!$A$15:$A$35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'Protective Put'!$B$15:$B$35</c:f>
              <c:numCache>
                <c:formatCode>_("$"* #,##0.00_);_("$"* \(#,##0.00\);_("$"* "-"??_);_(@_)</c:formatCode>
                <c:ptCount val="21"/>
                <c:pt idx="0">
                  <c:v>-40</c:v>
                </c:pt>
                <c:pt idx="1">
                  <c:v>-35</c:v>
                </c:pt>
                <c:pt idx="2">
                  <c:v>-30</c:v>
                </c:pt>
                <c:pt idx="3">
                  <c:v>-25</c:v>
                </c:pt>
                <c:pt idx="4">
                  <c:v>-20</c:v>
                </c:pt>
                <c:pt idx="5">
                  <c:v>-15</c:v>
                </c:pt>
                <c:pt idx="6">
                  <c:v>-10</c:v>
                </c:pt>
                <c:pt idx="7">
                  <c:v>-5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  <c:pt idx="2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7-CD47-8F09-AC80D656B5D8}"/>
            </c:ext>
          </c:extLst>
        </c:ser>
        <c:ser>
          <c:idx val="1"/>
          <c:order val="1"/>
          <c:tx>
            <c:strRef>
              <c:f>'Protective Put'!$C$13</c:f>
              <c:strCache>
                <c:ptCount val="1"/>
                <c:pt idx="0">
                  <c:v>Profit from buying put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'Protective Put'!$A$15:$A$35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'Protective Put'!$C$15:$C$35</c:f>
              <c:numCache>
                <c:formatCode>_("$"* #,##0.00_);_("$"* \(#,##0.00\);_("$"* "-"??_);_(@_)</c:formatCode>
                <c:ptCount val="21"/>
                <c:pt idx="0">
                  <c:v>38</c:v>
                </c:pt>
                <c:pt idx="1">
                  <c:v>33</c:v>
                </c:pt>
                <c:pt idx="2">
                  <c:v>28</c:v>
                </c:pt>
                <c:pt idx="3">
                  <c:v>23</c:v>
                </c:pt>
                <c:pt idx="4">
                  <c:v>18</c:v>
                </c:pt>
                <c:pt idx="5">
                  <c:v>13</c:v>
                </c:pt>
                <c:pt idx="6">
                  <c:v>8</c:v>
                </c:pt>
                <c:pt idx="7">
                  <c:v>3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A7-CD47-8F09-AC80D656B5D8}"/>
            </c:ext>
          </c:extLst>
        </c:ser>
        <c:ser>
          <c:idx val="2"/>
          <c:order val="2"/>
          <c:tx>
            <c:strRef>
              <c:f>'Protective Put'!$D$13</c:f>
              <c:strCache>
                <c:ptCount val="1"/>
                <c:pt idx="0">
                  <c:v>Profit from buying protective put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'Protective Put'!$A$15:$A$35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'Protective Put'!$D$15:$D$35</c:f>
              <c:numCache>
                <c:formatCode>_("$"* #,##0.00_);_("$"* \(#,##0.00\);_("$"* "-"??_);_(@_)</c:formatCode>
                <c:ptCount val="2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3</c:v>
                </c:pt>
                <c:pt idx="10">
                  <c:v>8</c:v>
                </c:pt>
                <c:pt idx="11">
                  <c:v>13</c:v>
                </c:pt>
                <c:pt idx="12">
                  <c:v>18</c:v>
                </c:pt>
                <c:pt idx="13">
                  <c:v>23</c:v>
                </c:pt>
                <c:pt idx="14">
                  <c:v>28</c:v>
                </c:pt>
                <c:pt idx="15">
                  <c:v>33</c:v>
                </c:pt>
                <c:pt idx="16">
                  <c:v>38</c:v>
                </c:pt>
                <c:pt idx="17">
                  <c:v>43</c:v>
                </c:pt>
                <c:pt idx="18">
                  <c:v>48</c:v>
                </c:pt>
                <c:pt idx="19">
                  <c:v>53</c:v>
                </c:pt>
                <c:pt idx="20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A7-CD47-8F09-AC80D656B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02544"/>
        <c:axId val="48328351"/>
      </c:scatterChart>
      <c:valAx>
        <c:axId val="78230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 St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351"/>
        <c:crosses val="autoZero"/>
        <c:crossBetween val="midCat"/>
      </c:valAx>
      <c:valAx>
        <c:axId val="48328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302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Bull Spread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'Bull Spread'!$B$15</c:f>
              <c:strCache>
                <c:ptCount val="1"/>
                <c:pt idx="0">
                  <c:v>Profit from buying call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'Bull Spread'!$A$17:$A$37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'Bull Spread'!$B$17:$B$37</c:f>
              <c:numCache>
                <c:formatCode>_("$"* #,##0.00_);_("$"* \(#,##0.00\);_("$"* "-"??_);_(@_)</c:formatCode>
                <c:ptCount val="21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1</c:v>
                </c:pt>
                <c:pt idx="10">
                  <c:v>6</c:v>
                </c:pt>
                <c:pt idx="11">
                  <c:v>11</c:v>
                </c:pt>
                <c:pt idx="12">
                  <c:v>16</c:v>
                </c:pt>
                <c:pt idx="13">
                  <c:v>21</c:v>
                </c:pt>
                <c:pt idx="14">
                  <c:v>26</c:v>
                </c:pt>
                <c:pt idx="15">
                  <c:v>31</c:v>
                </c:pt>
                <c:pt idx="16">
                  <c:v>36</c:v>
                </c:pt>
                <c:pt idx="17">
                  <c:v>41</c:v>
                </c:pt>
                <c:pt idx="18">
                  <c:v>46</c:v>
                </c:pt>
                <c:pt idx="19">
                  <c:v>51</c:v>
                </c:pt>
                <c:pt idx="20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D-5E48-95B0-B3F2F44D8F95}"/>
            </c:ext>
          </c:extLst>
        </c:ser>
        <c:ser>
          <c:idx val="1"/>
          <c:order val="1"/>
          <c:tx>
            <c:strRef>
              <c:f>'Bull Spread'!$C$15</c:f>
              <c:strCache>
                <c:ptCount val="1"/>
                <c:pt idx="0">
                  <c:v>Profit from selling call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'Bull Spread'!$A$17:$A$37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'Bull Spread'!$C$17:$C$37</c:f>
              <c:numCache>
                <c:formatCode>_("$"* #,##0.00_);_("$"* \(#,##0.00\);_("$"* "-"??_);_(@_)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-3</c:v>
                </c:pt>
                <c:pt idx="12">
                  <c:v>-8</c:v>
                </c:pt>
                <c:pt idx="13">
                  <c:v>-13</c:v>
                </c:pt>
                <c:pt idx="14">
                  <c:v>-18</c:v>
                </c:pt>
                <c:pt idx="15">
                  <c:v>-23</c:v>
                </c:pt>
                <c:pt idx="16">
                  <c:v>-28</c:v>
                </c:pt>
                <c:pt idx="17">
                  <c:v>-33</c:v>
                </c:pt>
                <c:pt idx="18">
                  <c:v>-38</c:v>
                </c:pt>
                <c:pt idx="19">
                  <c:v>-43</c:v>
                </c:pt>
                <c:pt idx="20">
                  <c:v>-48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5D-5E48-95B0-B3F2F44D8F95}"/>
            </c:ext>
          </c:extLst>
        </c:ser>
        <c:ser>
          <c:idx val="2"/>
          <c:order val="2"/>
          <c:tx>
            <c:strRef>
              <c:f>'Bull Spread'!$D$15</c:f>
              <c:strCache>
                <c:ptCount val="1"/>
                <c:pt idx="0">
                  <c:v>Bull spread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'Bull Spread'!$A$17:$A$37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'Bull Spread'!$D$17:$D$37</c:f>
              <c:numCache>
                <c:formatCode>_("$"* #,##0.00_);_("$"* \(#,##0.00\);_("$"* "-"??_);_(@_)</c:formatCode>
                <c:ptCount val="21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3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5D-5E48-95B0-B3F2F44D8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7967"/>
        <c:axId val="40630111"/>
      </c:scatterChart>
      <c:valAx>
        <c:axId val="2791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Terminal Stock Price St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0111"/>
        <c:crosses val="autoZero"/>
        <c:crossBetween val="midCat"/>
      </c:valAx>
      <c:valAx>
        <c:axId val="4063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17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Black-Scholes option price versus intrinsic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'Black-Scholes'!$B$20</c:f>
              <c:strCache>
                <c:ptCount val="1"/>
                <c:pt idx="0">
                  <c:v>Call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'Black-Scholes'!$A$22:$A$41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'Black-Scholes'!$B$22:$B$41</c:f>
              <c:numCache>
                <c:formatCode>_("$"* #,##0.00_);_("$"* \(#,##0.00\);_("$"* "-"??_);_(@_)</c:formatCode>
                <c:ptCount val="20"/>
                <c:pt idx="0">
                  <c:v>1.6271103795261353E-17</c:v>
                </c:pt>
                <c:pt idx="1">
                  <c:v>6.2724512246643584E-9</c:v>
                </c:pt>
                <c:pt idx="2">
                  <c:v>2.8392918447725339E-5</c:v>
                </c:pt>
                <c:pt idx="3">
                  <c:v>2.8537602395158762E-3</c:v>
                </c:pt>
                <c:pt idx="4">
                  <c:v>4.8405224028071792E-2</c:v>
                </c:pt>
                <c:pt idx="5">
                  <c:v>0.31005154938344548</c:v>
                </c:pt>
                <c:pt idx="6">
                  <c:v>1.1076855598914648</c:v>
                </c:pt>
                <c:pt idx="7">
                  <c:v>2.7318630834502908</c:v>
                </c:pt>
                <c:pt idx="8">
                  <c:v>5.2776725210471618</c:v>
                </c:pt>
                <c:pt idx="9">
                  <c:v>8.6434337071156619</c:v>
                </c:pt>
                <c:pt idx="10">
                  <c:v>12.6307309804506</c:v>
                </c:pt>
                <c:pt idx="11">
                  <c:v>17.037833435617188</c:v>
                </c:pt>
                <c:pt idx="12">
                  <c:v>21.705621303373071</c:v>
                </c:pt>
                <c:pt idx="13">
                  <c:v>26.525589687810623</c:v>
                </c:pt>
                <c:pt idx="14">
                  <c:v>31.430439448391141</c:v>
                </c:pt>
                <c:pt idx="15">
                  <c:v>36.381069196126973</c:v>
                </c:pt>
                <c:pt idx="16">
                  <c:v>41.355789404586439</c:v>
                </c:pt>
                <c:pt idx="17">
                  <c:v>46.342962710371559</c:v>
                </c:pt>
                <c:pt idx="18">
                  <c:v>51.336492839898362</c:v>
                </c:pt>
                <c:pt idx="19">
                  <c:v>56.333240246824879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7-5A4C-A9E8-3844E70BD4CD}"/>
            </c:ext>
          </c:extLst>
        </c:ser>
        <c:ser>
          <c:idx val="1"/>
          <c:order val="1"/>
          <c:tx>
            <c:strRef>
              <c:f>'Black-Scholes'!$C$20</c:f>
              <c:strCache>
                <c:ptCount val="1"/>
                <c:pt idx="0">
                  <c:v>Option's intrinsic value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'Black-Scholes'!$A$22:$A$41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'Black-Scholes'!$C$22:$C$41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  <c:pt idx="16">
                  <c:v>40</c:v>
                </c:pt>
                <c:pt idx="17">
                  <c:v>45</c:v>
                </c:pt>
                <c:pt idx="18">
                  <c:v>50</c:v>
                </c:pt>
                <c:pt idx="19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7-5A4C-A9E8-3844E70BD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45456"/>
        <c:axId val="781059104"/>
      </c:scatterChart>
      <c:valAx>
        <c:axId val="7810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stock price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59104"/>
        <c:crosses val="autoZero"/>
        <c:crossBetween val="midCat"/>
      </c:valAx>
      <c:valAx>
        <c:axId val="7810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and put price using BSM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 VBA'!$B$12</c:f>
              <c:strCache>
                <c:ptCount val="1"/>
                <c:pt idx="0">
                  <c:v>Call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'BSM VBA'!$A$14:$A$33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'BSM VBA'!$B$14:$B$33</c:f>
              <c:numCache>
                <c:formatCode>_("$"* #,##0.00_);_("$"* \(#,##0.00\);_("$"* "-"??_);_(@_)</c:formatCode>
                <c:ptCount val="20"/>
                <c:pt idx="0">
                  <c:v>9.8292212154202784E-18</c:v>
                </c:pt>
                <c:pt idx="1">
                  <c:v>4.3961414837898463E-9</c:v>
                </c:pt>
                <c:pt idx="2">
                  <c:v>2.1653845011285991E-5</c:v>
                </c:pt>
                <c:pt idx="3">
                  <c:v>2.3057501828009121E-3</c:v>
                </c:pt>
                <c:pt idx="4">
                  <c:v>4.0811811040176948E-2</c:v>
                </c:pt>
                <c:pt idx="5">
                  <c:v>0.27007930051533613</c:v>
                </c:pt>
                <c:pt idx="6">
                  <c:v>0.9896924502563218</c:v>
                </c:pt>
                <c:pt idx="7">
                  <c:v>2.4898243636956288</c:v>
                </c:pt>
                <c:pt idx="8">
                  <c:v>4.8852620469068775</c:v>
                </c:pt>
                <c:pt idx="9">
                  <c:v>8.0977585519449988</c:v>
                </c:pt>
                <c:pt idx="10">
                  <c:v>11.944028386261408</c:v>
                </c:pt>
                <c:pt idx="11">
                  <c:v>16.227450186897897</c:v>
                </c:pt>
                <c:pt idx="12">
                  <c:v>20.787608088251091</c:v>
                </c:pt>
                <c:pt idx="13">
                  <c:v>25.512213767824335</c:v>
                </c:pt>
                <c:pt idx="14">
                  <c:v>30.33006854378268</c:v>
                </c:pt>
                <c:pt idx="15">
                  <c:v>35.198995764361271</c:v>
                </c:pt>
                <c:pt idx="16">
                  <c:v>40.095188260313599</c:v>
                </c:pt>
                <c:pt idx="17">
                  <c:v>45.005667083658309</c:v>
                </c:pt>
                <c:pt idx="18">
                  <c:v>49.923532226437196</c:v>
                </c:pt>
                <c:pt idx="19">
                  <c:v>54.845181120900762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B-D742-8DAE-8EFC9819863F}"/>
            </c:ext>
          </c:extLst>
        </c:ser>
        <c:ser>
          <c:idx val="1"/>
          <c:order val="1"/>
          <c:tx>
            <c:strRef>
              <c:f>'BSM VBA'!$C$12</c:f>
              <c:strCache>
                <c:ptCount val="1"/>
                <c:pt idx="0">
                  <c:v>Put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'BSM VBA'!$A$14:$A$33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xVal>
          <c:yVal>
            <c:numRef>
              <c:f>'BSM VBA'!$C$14:$C$33</c:f>
              <c:numCache>
                <c:formatCode>_("$"* #,##0.00_);_("$"* \(#,##0.00\);_("$"* "-"??_);_(@_)</c:formatCode>
                <c:ptCount val="20"/>
                <c:pt idx="0">
                  <c:v>38.744489311667557</c:v>
                </c:pt>
                <c:pt idx="1">
                  <c:v>33.818929618048386</c:v>
                </c:pt>
                <c:pt idx="2">
                  <c:v>28.893391569481945</c:v>
                </c:pt>
                <c:pt idx="3">
                  <c:v>23.970115967804418</c:v>
                </c:pt>
                <c:pt idx="4">
                  <c:v>19.083062330646484</c:v>
                </c:pt>
                <c:pt idx="5">
                  <c:v>14.386770122106327</c:v>
                </c:pt>
                <c:pt idx="6">
                  <c:v>10.180823573832004</c:v>
                </c:pt>
                <c:pt idx="7">
                  <c:v>6.7553957892559993</c:v>
                </c:pt>
                <c:pt idx="8">
                  <c:v>4.2252737744519351</c:v>
                </c:pt>
                <c:pt idx="9">
                  <c:v>2.51221058147474</c:v>
                </c:pt>
                <c:pt idx="10">
                  <c:v>1.4329207177758381</c:v>
                </c:pt>
                <c:pt idx="11">
                  <c:v>0.79078282039700376</c:v>
                </c:pt>
                <c:pt idx="12">
                  <c:v>0.42538102373488496</c:v>
                </c:pt>
                <c:pt idx="13">
                  <c:v>0.22442700529281634</c:v>
                </c:pt>
                <c:pt idx="14">
                  <c:v>0.11672208323585864</c:v>
                </c:pt>
                <c:pt idx="15">
                  <c:v>6.0089605799140355E-2</c:v>
                </c:pt>
                <c:pt idx="16">
                  <c:v>3.0722403736131776E-2</c:v>
                </c:pt>
                <c:pt idx="17">
                  <c:v>1.5641529065541504E-2</c:v>
                </c:pt>
                <c:pt idx="18">
                  <c:v>7.9469738291060438E-3</c:v>
                </c:pt>
                <c:pt idx="19">
                  <c:v>4.03617027737109E-3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B-D742-8DAE-8EFC98198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42256"/>
        <c:axId val="782143968"/>
      </c:scatterChart>
      <c:valAx>
        <c:axId val="78214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143968"/>
        <c:crosses val="autoZero"/>
        <c:crossBetween val="midCat"/>
      </c:valAx>
      <c:valAx>
        <c:axId val="7821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14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and put delta as functions of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Greeks!$S$1</c:f>
              <c:strCache>
                <c:ptCount val="1"/>
                <c:pt idx="0">
                  <c:v>Call 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Greeks!$R$3:$R$18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Greeks!$S$3:$S$18</c:f>
              <c:numCache>
                <c:formatCode>_(* #,##0.00_);_(* \(#,##0.00\);_(*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1-FA43-9F89-85CC9E7DD92B}"/>
            </c:ext>
          </c:extLst>
        </c:ser>
        <c:ser>
          <c:idx val="1"/>
          <c:order val="1"/>
          <c:tx>
            <c:strRef>
              <c:f>Greeks!$T$1</c:f>
              <c:strCache>
                <c:ptCount val="1"/>
                <c:pt idx="0">
                  <c:v>Put delta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Greeks!$R$3:$R$18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Greeks!$T$3:$T$18</c:f>
              <c:numCache>
                <c:formatCode>_(* #,##0.00_);_(* \(#,##0.00\);_(*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F1-FA43-9F89-85CC9E7DD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224560"/>
        <c:axId val="987776543"/>
      </c:scatterChart>
      <c:valAx>
        <c:axId val="78222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Stock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76543"/>
        <c:crosses val="autoZero"/>
        <c:crossBetween val="midCat"/>
      </c:valAx>
      <c:valAx>
        <c:axId val="98777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22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delta, Time to Maturity, and Moneyness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Greeks!$S$26</c:f>
              <c:strCache>
                <c:ptCount val="1"/>
                <c:pt idx="0">
                  <c:v>In-the-money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Greeks!$R$28:$R$64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Greeks!$S$28:$S$64</c:f>
              <c:numCache>
                <c:formatCode>_(* #,##0.00_);_(* \(#,##0.00\);_(* "-"??_);_(@_)</c:formatCode>
                <c:ptCount val="37"/>
                <c:pt idx="0">
                  <c:v>0.9882926383220928</c:v>
                </c:pt>
                <c:pt idx="1">
                  <c:v>0.9804722211334147</c:v>
                </c:pt>
                <c:pt idx="2">
                  <c:v>0.97164054516671117</c:v>
                </c:pt>
                <c:pt idx="3">
                  <c:v>0.96240644161456346</c:v>
                </c:pt>
                <c:pt idx="4">
                  <c:v>0.95314965109004435</c:v>
                </c:pt>
                <c:pt idx="5">
                  <c:v>0.9440908622727745</c:v>
                </c:pt>
                <c:pt idx="6">
                  <c:v>0.93535037639773089</c:v>
                </c:pt>
                <c:pt idx="7">
                  <c:v>0.92698741865483869</c:v>
                </c:pt>
                <c:pt idx="8">
                  <c:v>0.9190247678947624</c:v>
                </c:pt>
                <c:pt idx="9">
                  <c:v>0.91146384358788801</c:v>
                </c:pt>
                <c:pt idx="10">
                  <c:v>0.90429388424858914</c:v>
                </c:pt>
                <c:pt idx="11">
                  <c:v>0.89749751983738413</c:v>
                </c:pt>
                <c:pt idx="12">
                  <c:v>0.89105414611313705</c:v>
                </c:pt>
                <c:pt idx="13">
                  <c:v>0.88494195417294719</c:v>
                </c:pt>
                <c:pt idx="14">
                  <c:v>0.87913913322249704</c:v>
                </c:pt>
                <c:pt idx="15">
                  <c:v>0.87362456312842307</c:v>
                </c:pt>
                <c:pt idx="16">
                  <c:v>0.86837819171674324</c:v>
                </c:pt>
                <c:pt idx="17">
                  <c:v>0.8633812178332525</c:v>
                </c:pt>
                <c:pt idx="18">
                  <c:v>0.85861615578441297</c:v>
                </c:pt>
                <c:pt idx="19">
                  <c:v>0.85406682863938221</c:v>
                </c:pt>
                <c:pt idx="20">
                  <c:v>0.84971832027557803</c:v>
                </c:pt>
                <c:pt idx="21">
                  <c:v>0.84555690495552416</c:v>
                </c:pt>
                <c:pt idx="22">
                  <c:v>0.84156996618207791</c:v>
                </c:pt>
                <c:pt idx="23">
                  <c:v>0.8377459120896229</c:v>
                </c:pt>
                <c:pt idx="24">
                  <c:v>0.83407409175837144</c:v>
                </c:pt>
                <c:pt idx="25">
                  <c:v>0.83054471500370042</c:v>
                </c:pt>
                <c:pt idx="26">
                  <c:v>0.82714877702313472</c:v>
                </c:pt>
                <c:pt idx="27">
                  <c:v>0.82387798854458283</c:v>
                </c:pt>
                <c:pt idx="28">
                  <c:v>0.82072471165924632</c:v>
                </c:pt>
                <c:pt idx="29">
                  <c:v>0.8176819012432246</c:v>
                </c:pt>
                <c:pt idx="30">
                  <c:v>0.81474305170939754</c:v>
                </c:pt>
                <c:pt idx="31">
                  <c:v>0.81190214874399147</c:v>
                </c:pt>
                <c:pt idx="32">
                  <c:v>0.80915362564298787</c:v>
                </c:pt>
                <c:pt idx="33">
                  <c:v>0.80649232385426284</c:v>
                </c:pt>
                <c:pt idx="34">
                  <c:v>0.80391345734033892</c:v>
                </c:pt>
                <c:pt idx="35">
                  <c:v>0.80141258039615948</c:v>
                </c:pt>
                <c:pt idx="36">
                  <c:v>0.79898555858145714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2-044F-9A90-432992248927}"/>
            </c:ext>
          </c:extLst>
        </c:ser>
        <c:ser>
          <c:idx val="1"/>
          <c:order val="1"/>
          <c:tx>
            <c:strRef>
              <c:f>Greeks!$T$26</c:f>
              <c:strCache>
                <c:ptCount val="1"/>
                <c:pt idx="0">
                  <c:v>At-the-money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Greeks!$R$28:$R$64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Greeks!$T$28:$T$64</c:f>
              <c:numCache>
                <c:formatCode>_(* #,##0.00_);_(* \(#,##0.00\);_(* "-"??_);_(@_)</c:formatCode>
                <c:ptCount val="37"/>
                <c:pt idx="0">
                  <c:v>0.5252075270563149</c:v>
                </c:pt>
                <c:pt idx="1">
                  <c:v>0.52788437572749503</c:v>
                </c:pt>
                <c:pt idx="2">
                  <c:v>0.53024680548644287</c:v>
                </c:pt>
                <c:pt idx="3">
                  <c:v>0.5323702835387838</c:v>
                </c:pt>
                <c:pt idx="4">
                  <c:v>0.53430404234083828</c:v>
                </c:pt>
                <c:pt idx="5">
                  <c:v>0.53608232151494983</c:v>
                </c:pt>
                <c:pt idx="6">
                  <c:v>0.53773008181754922</c:v>
                </c:pt>
                <c:pt idx="7">
                  <c:v>0.53926619013650345</c:v>
                </c:pt>
                <c:pt idx="8">
                  <c:v>0.54070532250424497</c:v>
                </c:pt>
                <c:pt idx="9">
                  <c:v>0.54205916462931625</c:v>
                </c:pt>
                <c:pt idx="10">
                  <c:v>0.54333720314222966</c:v>
                </c:pt>
                <c:pt idx="11">
                  <c:v>0.54454726623093286</c:v>
                </c:pt>
                <c:pt idx="12">
                  <c:v>0.54569590438017879</c:v>
                </c:pt>
                <c:pt idx="13">
                  <c:v>0.54678866549545457</c:v>
                </c:pt>
                <c:pt idx="14">
                  <c:v>0.54783029816827333</c:v>
                </c:pt>
                <c:pt idx="15">
                  <c:v>0.54882490478175128</c:v>
                </c:pt>
                <c:pt idx="16">
                  <c:v>0.54977605881050651</c:v>
                </c:pt>
                <c:pt idx="17">
                  <c:v>0.55068689605190047</c:v>
                </c:pt>
                <c:pt idx="18">
                  <c:v>0.55156018654209071</c:v>
                </c:pt>
                <c:pt idx="19">
                  <c:v>0.5523983919345824</c:v>
                </c:pt>
                <c:pt idx="20">
                  <c:v>0.55320371178168248</c:v>
                </c:pt>
                <c:pt idx="21">
                  <c:v>0.55397812123620604</c:v>
                </c:pt>
                <c:pt idx="22">
                  <c:v>0.55472340204226733</c:v>
                </c:pt>
                <c:pt idx="23">
                  <c:v>0.55544116822096889</c:v>
                </c:pt>
                <c:pt idx="24">
                  <c:v>0.55613288752134071</c:v>
                </c:pt>
                <c:pt idx="25">
                  <c:v>0.55679989946054786</c:v>
                </c:pt>
                <c:pt idx="26">
                  <c:v>0.5574434305942545</c:v>
                </c:pt>
                <c:pt idx="27">
                  <c:v>0.55806460752032849</c:v>
                </c:pt>
                <c:pt idx="28">
                  <c:v>0.55866446801442682</c:v>
                </c:pt>
                <c:pt idx="29">
                  <c:v>0.5592439706157013</c:v>
                </c:pt>
                <c:pt idx="30">
                  <c:v>0.55980400291867727</c:v>
                </c:pt>
                <c:pt idx="31">
                  <c:v>0.56034538877878892</c:v>
                </c:pt>
                <c:pt idx="32">
                  <c:v>0.5608688946008199</c:v>
                </c:pt>
                <c:pt idx="33">
                  <c:v>0.56137523484917429</c:v>
                </c:pt>
                <c:pt idx="34">
                  <c:v>0.56186507689467602</c:v>
                </c:pt>
                <c:pt idx="35">
                  <c:v>0.56233904529312606</c:v>
                </c:pt>
                <c:pt idx="36">
                  <c:v>0.56279772557509011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62-044F-9A90-432992248927}"/>
            </c:ext>
          </c:extLst>
        </c:ser>
        <c:ser>
          <c:idx val="2"/>
          <c:order val="2"/>
          <c:tx>
            <c:strRef>
              <c:f>Greeks!$U$26</c:f>
              <c:strCache>
                <c:ptCount val="1"/>
                <c:pt idx="0">
                  <c:v>Out-of-Money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Greeks!$R$28:$R$64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Greeks!$U$28:$U$64</c:f>
              <c:numCache>
                <c:formatCode>_(* #,##0.00_);_(* \(#,##0.00\);_(* "-"??_);_(@_)</c:formatCode>
                <c:ptCount val="37"/>
                <c:pt idx="0">
                  <c:v>3.1790696885182115E-2</c:v>
                </c:pt>
                <c:pt idx="1">
                  <c:v>5.0009017755856276E-2</c:v>
                </c:pt>
                <c:pt idx="2">
                  <c:v>6.8326360231843852E-2</c:v>
                </c:pt>
                <c:pt idx="3">
                  <c:v>8.5973751142174412E-2</c:v>
                </c:pt>
                <c:pt idx="4">
                  <c:v>0.10264126741216635</c:v>
                </c:pt>
                <c:pt idx="5">
                  <c:v>0.11823941472248098</c:v>
                </c:pt>
                <c:pt idx="6">
                  <c:v>0.13278142408211238</c:v>
                </c:pt>
                <c:pt idx="7">
                  <c:v>0.14632579465455892</c:v>
                </c:pt>
                <c:pt idx="8">
                  <c:v>0.15894823005997158</c:v>
                </c:pt>
                <c:pt idx="9">
                  <c:v>0.17072803454366997</c:v>
                </c:pt>
                <c:pt idx="10">
                  <c:v>0.18174171698865102</c:v>
                </c:pt>
                <c:pt idx="11">
                  <c:v>0.19206021999355524</c:v>
                </c:pt>
                <c:pt idx="12">
                  <c:v>0.20174797001137743</c:v>
                </c:pt>
                <c:pt idx="13">
                  <c:v>0.21086282561849534</c:v>
                </c:pt>
                <c:pt idx="14">
                  <c:v>0.21945644699425179</c:v>
                </c:pt>
                <c:pt idx="15">
                  <c:v>0.2275748398318039</c:v>
                </c:pt>
                <c:pt idx="16">
                  <c:v>0.23525894744923051</c:v>
                </c:pt>
                <c:pt idx="17">
                  <c:v>0.2425452286227813</c:v>
                </c:pt>
                <c:pt idx="18">
                  <c:v>0.24946619246664589</c:v>
                </c:pt>
                <c:pt idx="19">
                  <c:v>0.25605087947686161</c:v>
                </c:pt>
                <c:pt idx="20">
                  <c:v>0.26232528701615471</c:v>
                </c:pt>
                <c:pt idx="21">
                  <c:v>0.26831274200415584</c:v>
                </c:pt>
                <c:pt idx="22">
                  <c:v>0.27403422554860962</c:v>
                </c:pt>
                <c:pt idx="23">
                  <c:v>0.27950865488963478</c:v>
                </c:pt>
                <c:pt idx="24">
                  <c:v>0.2847531279811607</c:v>
                </c:pt>
                <c:pt idx="25">
                  <c:v>0.28978313565841823</c:v>
                </c:pt>
                <c:pt idx="26">
                  <c:v>0.2946127458317252</c:v>
                </c:pt>
                <c:pt idx="27">
                  <c:v>0.2992547636075753</c:v>
                </c:pt>
                <c:pt idx="28">
                  <c:v>0.30372087072024223</c:v>
                </c:pt>
                <c:pt idx="29">
                  <c:v>0.30802174718459668</c:v>
                </c:pt>
                <c:pt idx="30">
                  <c:v>0.31216717766218721</c:v>
                </c:pt>
                <c:pt idx="31">
                  <c:v>0.31616614466836535</c:v>
                </c:pt>
                <c:pt idx="32">
                  <c:v>0.32002691043487264</c:v>
                </c:pt>
                <c:pt idx="33">
                  <c:v>0.32375708897468869</c:v>
                </c:pt>
                <c:pt idx="34">
                  <c:v>0.32736370966840028</c:v>
                </c:pt>
                <c:pt idx="35">
                  <c:v>0.33085327349839311</c:v>
                </c:pt>
                <c:pt idx="36">
                  <c:v>0.33423180289373555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62-044F-9A90-432992248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122080"/>
        <c:axId val="784153728"/>
      </c:scatterChart>
      <c:valAx>
        <c:axId val="78412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Expiration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153728"/>
        <c:crosses val="autoZero"/>
        <c:crossBetween val="midCat"/>
      </c:valAx>
      <c:valAx>
        <c:axId val="78415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Call 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12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Call and put theta as functions of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Greeks!$H$1</c:f>
              <c:strCache>
                <c:ptCount val="1"/>
                <c:pt idx="0">
                  <c:v>Call theta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Greeks!$G$3:$G$18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Greeks!$H$3:$H$18</c:f>
              <c:numCache>
                <c:formatCode>_(* #,##0.00_);_(* \(#,##0.00\);_(* "-"??_);_(@_)</c:formatCode>
                <c:ptCount val="16"/>
                <c:pt idx="0">
                  <c:v>-4.8757751408488297E-16</c:v>
                </c:pt>
                <c:pt idx="1">
                  <c:v>-1.0649231218158199E-7</c:v>
                </c:pt>
                <c:pt idx="2">
                  <c:v>-1.8982893102684504E-2</c:v>
                </c:pt>
                <c:pt idx="3">
                  <c:v>-0.83502678012139708</c:v>
                </c:pt>
                <c:pt idx="4">
                  <c:v>-2.8402490248043928</c:v>
                </c:pt>
                <c:pt idx="5">
                  <c:v>-3.2432356355284107</c:v>
                </c:pt>
                <c:pt idx="6">
                  <c:v>-2.183558611123892</c:v>
                </c:pt>
                <c:pt idx="7">
                  <c:v>-1.1193257102608802</c:v>
                </c:pt>
                <c:pt idx="8">
                  <c:v>-0.45944181340100965</c:v>
                </c:pt>
                <c:pt idx="9">
                  <c:v>-7.3044825043787398E-2</c:v>
                </c:pt>
                <c:pt idx="10">
                  <c:v>0.19128410463204926</c:v>
                </c:pt>
                <c:pt idx="11">
                  <c:v>0.41041421479872064</c:v>
                </c:pt>
                <c:pt idx="12">
                  <c:v>0.61438822786910352</c:v>
                </c:pt>
                <c:pt idx="13">
                  <c:v>0.81354879336269748</c:v>
                </c:pt>
                <c:pt idx="14">
                  <c:v>1.0112233923476066</c:v>
                </c:pt>
                <c:pt idx="15">
                  <c:v>1.2084448617805579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7A-4F4E-A57C-DF8118C86FC9}"/>
            </c:ext>
          </c:extLst>
        </c:ser>
        <c:ser>
          <c:idx val="1"/>
          <c:order val="1"/>
          <c:tx>
            <c:strRef>
              <c:f>Greeks!$I$1</c:f>
              <c:strCache>
                <c:ptCount val="1"/>
                <c:pt idx="0">
                  <c:v>Put theta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Greeks!$G$3:$G$18</c:f>
              <c:numCache>
                <c:formatCode>General</c:formatCode>
                <c:ptCount val="16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Greeks!$I$3:$I$18</c:f>
              <c:numCache>
                <c:formatCode>_(* #,##0.00_);_(* \(#,##0.00\);_(* "-"??_);_(@_)</c:formatCode>
                <c:ptCount val="16"/>
                <c:pt idx="0">
                  <c:v>1.6482907664270079</c:v>
                </c:pt>
                <c:pt idx="1">
                  <c:v>1.54977946597439</c:v>
                </c:pt>
                <c:pt idx="2">
                  <c:v>1.333774291443405</c:v>
                </c:pt>
                <c:pt idx="3">
                  <c:v>0.32070801650407987</c:v>
                </c:pt>
                <c:pt idx="4">
                  <c:v>-1.8815366160995284</c:v>
                </c:pt>
                <c:pt idx="5">
                  <c:v>-2.4815456147441584</c:v>
                </c:pt>
                <c:pt idx="6">
                  <c:v>-1.6188909782602525</c:v>
                </c:pt>
                <c:pt idx="7">
                  <c:v>-0.7516804653178536</c:v>
                </c:pt>
                <c:pt idx="8">
                  <c:v>-0.2888189563785955</c:v>
                </c:pt>
                <c:pt idx="9">
                  <c:v>-9.9444355941985807E-2</c:v>
                </c:pt>
                <c:pt idx="10">
                  <c:v>-3.2137814186761482E-2</c:v>
                </c:pt>
                <c:pt idx="11">
                  <c:v>-1.0030091940702254E-2</c:v>
                </c:pt>
                <c:pt idx="12">
                  <c:v>-3.0784667909323944E-3</c:v>
                </c:pt>
                <c:pt idx="13">
                  <c:v>-9.4028921795078944E-4</c:v>
                </c:pt>
                <c:pt idx="14">
                  <c:v>-2.8807815365501454E-4</c:v>
                </c:pt>
                <c:pt idx="15">
                  <c:v>-8.8996641315486217E-5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7A-4F4E-A57C-DF8118C86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48255"/>
        <c:axId val="48532751"/>
      </c:scatterChart>
      <c:valAx>
        <c:axId val="48648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751"/>
        <c:crosses val="autoZero"/>
        <c:crossBetween val="midCat"/>
      </c:valAx>
      <c:valAx>
        <c:axId val="4853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48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Call theta, Time to Maturity, and Moneyness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Greeks!$H$26</c:f>
              <c:strCache>
                <c:ptCount val="1"/>
                <c:pt idx="0">
                  <c:v>In-the-money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Greeks!$G$28:$G$64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Greeks!$H$28:$H$64</c:f>
              <c:numCache>
                <c:formatCode>_(* #,##0.00_);_(* \(#,##0.00\);_(* "-"??_);_(@_)</c:formatCode>
                <c:ptCount val="37"/>
                <c:pt idx="0">
                  <c:v>-1.0917090049784686</c:v>
                </c:pt>
                <c:pt idx="1">
                  <c:v>-1.3623489688590733</c:v>
                </c:pt>
                <c:pt idx="2">
                  <c:v>-1.602152830898063</c:v>
                </c:pt>
                <c:pt idx="3">
                  <c:v>-1.8019973954765458</c:v>
                </c:pt>
                <c:pt idx="4">
                  <c:v>-1.9635677585508373</c:v>
                </c:pt>
                <c:pt idx="5">
                  <c:v>-2.0919961443392263</c:v>
                </c:pt>
                <c:pt idx="6">
                  <c:v>-2.1929135886179494</c:v>
                </c:pt>
                <c:pt idx="7">
                  <c:v>-2.2714147831231166</c:v>
                </c:pt>
                <c:pt idx="8">
                  <c:v>-2.33178874220145</c:v>
                </c:pt>
                <c:pt idx="9">
                  <c:v>-2.3775343886529994</c:v>
                </c:pt>
                <c:pt idx="10">
                  <c:v>-2.4114669631188956</c:v>
                </c:pt>
                <c:pt idx="11">
                  <c:v>-2.4358401002896026</c:v>
                </c:pt>
                <c:pt idx="12">
                  <c:v>-2.4524569546547772</c:v>
                </c:pt>
                <c:pt idx="13">
                  <c:v>-2.4627631206721863</c:v>
                </c:pt>
                <c:pt idx="14">
                  <c:v>-2.4679214083227792</c:v>
                </c:pt>
                <c:pt idx="15">
                  <c:v>-2.4688709333490526</c:v>
                </c:pt>
                <c:pt idx="16">
                  <c:v>-2.4663734380456797</c:v>
                </c:pt>
                <c:pt idx="17">
                  <c:v>-2.4610495111212396</c:v>
                </c:pt>
                <c:pt idx="18">
                  <c:v>-2.4534069284613418</c:v>
                </c:pt>
                <c:pt idx="19">
                  <c:v>-2.4438628854546591</c:v>
                </c:pt>
                <c:pt idx="20">
                  <c:v>-2.4327615014069695</c:v>
                </c:pt>
                <c:pt idx="21">
                  <c:v>-2.4203876608188377</c:v>
                </c:pt>
                <c:pt idx="22">
                  <c:v>-2.4069780089884034</c:v>
                </c:pt>
                <c:pt idx="23">
                  <c:v>-2.3927297289341469</c:v>
                </c:pt>
                <c:pt idx="24">
                  <c:v>-2.3778075811688071</c:v>
                </c:pt>
                <c:pt idx="25">
                  <c:v>-2.3623495771399852</c:v>
                </c:pt>
                <c:pt idx="26">
                  <c:v>-2.346471572917304</c:v>
                </c:pt>
                <c:pt idx="27">
                  <c:v>-2.3302710055194269</c:v>
                </c:pt>
                <c:pt idx="28">
                  <c:v>-2.3138299452307947</c:v>
                </c:pt>
                <c:pt idx="29">
                  <c:v>-2.2972175996528739</c:v>
                </c:pt>
                <c:pt idx="30">
                  <c:v>-2.2804923762844904</c:v>
                </c:pt>
                <c:pt idx="31">
                  <c:v>-2.2637035880423113</c:v>
                </c:pt>
                <c:pt idx="32">
                  <c:v>-2.2468928687487204</c:v>
                </c:pt>
                <c:pt idx="33">
                  <c:v>-2.2300953520519817</c:v>
                </c:pt>
                <c:pt idx="34">
                  <c:v>-2.2133406566143679</c:v>
                </c:pt>
                <c:pt idx="35">
                  <c:v>-2.1966537120357641</c:v>
                </c:pt>
                <c:pt idx="36">
                  <c:v>-2.1800554533628578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0-EB4A-AF66-227DD75A0A7F}"/>
            </c:ext>
          </c:extLst>
        </c:ser>
        <c:ser>
          <c:idx val="1"/>
          <c:order val="1"/>
          <c:tx>
            <c:strRef>
              <c:f>Greeks!$I$26</c:f>
              <c:strCache>
                <c:ptCount val="1"/>
                <c:pt idx="0">
                  <c:v>At-the-money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Greeks!$G$28:$G$64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Greeks!$I$28:$I$64</c:f>
              <c:numCache>
                <c:formatCode>_(* #,##0.00_);_(* \(#,##0.00\);_(* "-"??_);_(@_)</c:formatCode>
                <c:ptCount val="37"/>
                <c:pt idx="0">
                  <c:v>-9.8695132493461433</c:v>
                </c:pt>
                <c:pt idx="1">
                  <c:v>-8.8594006911215128</c:v>
                </c:pt>
                <c:pt idx="2">
                  <c:v>-8.1118563109236561</c:v>
                </c:pt>
                <c:pt idx="3">
                  <c:v>-7.5293742737853684</c:v>
                </c:pt>
                <c:pt idx="4">
                  <c:v>-7.0586424936099341</c:v>
                </c:pt>
                <c:pt idx="5">
                  <c:v>-6.6677254570918905</c:v>
                </c:pt>
                <c:pt idx="6">
                  <c:v>-6.3361699787741843</c:v>
                </c:pt>
                <c:pt idx="7">
                  <c:v>-6.050188535777953</c:v>
                </c:pt>
                <c:pt idx="8">
                  <c:v>-5.800102512564024</c:v>
                </c:pt>
                <c:pt idx="9">
                  <c:v>-5.5788903822402629</c:v>
                </c:pt>
                <c:pt idx="10">
                  <c:v>-5.381317447278307</c:v>
                </c:pt>
                <c:pt idx="11">
                  <c:v>-5.2033904443893872</c:v>
                </c:pt>
                <c:pt idx="12">
                  <c:v>-5.0420027663190563</c:v>
                </c:pt>
                <c:pt idx="13">
                  <c:v>-4.8946962509443113</c:v>
                </c:pt>
                <c:pt idx="14">
                  <c:v>-4.7594968144256304</c:v>
                </c:pt>
                <c:pt idx="15">
                  <c:v>-4.6347983117107674</c:v>
                </c:pt>
                <c:pt idx="16">
                  <c:v>-4.5192787437217268</c:v>
                </c:pt>
                <c:pt idx="17">
                  <c:v>-4.4118386745432083</c:v>
                </c:pt>
                <c:pt idx="18">
                  <c:v>-4.3115552193214333</c:v>
                </c:pt>
                <c:pt idx="19">
                  <c:v>-4.2176471533558004</c:v>
                </c:pt>
                <c:pt idx="20">
                  <c:v>-4.1294480984754403</c:v>
                </c:pt>
                <c:pt idx="21">
                  <c:v>-4.0463856654335846</c:v>
                </c:pt>
                <c:pt idx="22">
                  <c:v>-3.9679650490104907</c:v>
                </c:pt>
                <c:pt idx="23">
                  <c:v>-3.8937559940499278</c:v>
                </c:pt>
                <c:pt idx="24">
                  <c:v>-3.823382343037276</c:v>
                </c:pt>
                <c:pt idx="25">
                  <c:v>-3.756513581750534</c:v>
                </c:pt>
                <c:pt idx="26">
                  <c:v>-3.6928579465959728</c:v>
                </c:pt>
                <c:pt idx="27">
                  <c:v>-3.6321567636614116</c:v>
                </c:pt>
                <c:pt idx="28">
                  <c:v>-3.5741797674498823</c:v>
                </c:pt>
                <c:pt idx="29">
                  <c:v>-3.5187212049608521</c:v>
                </c:pt>
                <c:pt idx="30">
                  <c:v>-3.465596573958666</c:v>
                </c:pt>
                <c:pt idx="31">
                  <c:v>-3.414639876881298</c:v>
                </c:pt>
                <c:pt idx="32">
                  <c:v>-3.3657012967031035</c:v>
                </c:pt>
                <c:pt idx="33">
                  <c:v>-3.318645220176756</c:v>
                </c:pt>
                <c:pt idx="34">
                  <c:v>-3.2733485486888689</c:v>
                </c:pt>
                <c:pt idx="35">
                  <c:v>-3.2296992485254932</c:v>
                </c:pt>
                <c:pt idx="36">
                  <c:v>-3.1875951014338297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0-EB4A-AF66-227DD75A0A7F}"/>
            </c:ext>
          </c:extLst>
        </c:ser>
        <c:ser>
          <c:idx val="2"/>
          <c:order val="2"/>
          <c:tx>
            <c:strRef>
              <c:f>Greeks!$J$26</c:f>
              <c:strCache>
                <c:ptCount val="1"/>
                <c:pt idx="0">
                  <c:v>Out-of-Money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Greeks!$G$28:$G$64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0.2</c:v>
                </c:pt>
                <c:pt idx="5">
                  <c:v>0.22500000000000001</c:v>
                </c:pt>
                <c:pt idx="6">
                  <c:v>0.25</c:v>
                </c:pt>
                <c:pt idx="7">
                  <c:v>0.27500000000000002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</c:v>
                </c:pt>
                <c:pt idx="11">
                  <c:v>0.375</c:v>
                </c:pt>
                <c:pt idx="12">
                  <c:v>0.4</c:v>
                </c:pt>
                <c:pt idx="13">
                  <c:v>0.42499999999999999</c:v>
                </c:pt>
                <c:pt idx="14">
                  <c:v>0.45</c:v>
                </c:pt>
                <c:pt idx="15">
                  <c:v>0.47499999999999998</c:v>
                </c:pt>
                <c:pt idx="16">
                  <c:v>0.5</c:v>
                </c:pt>
                <c:pt idx="17">
                  <c:v>0.52500000000000002</c:v>
                </c:pt>
                <c:pt idx="18">
                  <c:v>0.55000000000000004</c:v>
                </c:pt>
                <c:pt idx="19">
                  <c:v>0.57499999999999996</c:v>
                </c:pt>
                <c:pt idx="20">
                  <c:v>0.6</c:v>
                </c:pt>
                <c:pt idx="21">
                  <c:v>0.625</c:v>
                </c:pt>
                <c:pt idx="22">
                  <c:v>0.65</c:v>
                </c:pt>
                <c:pt idx="23">
                  <c:v>0.67500000000000004</c:v>
                </c:pt>
                <c:pt idx="24">
                  <c:v>0.7</c:v>
                </c:pt>
                <c:pt idx="25">
                  <c:v>0.72499999999999998</c:v>
                </c:pt>
                <c:pt idx="26">
                  <c:v>0.75</c:v>
                </c:pt>
                <c:pt idx="27">
                  <c:v>0.77500000000000002</c:v>
                </c:pt>
                <c:pt idx="28">
                  <c:v>0.8</c:v>
                </c:pt>
                <c:pt idx="29">
                  <c:v>0.82499999999999996</c:v>
                </c:pt>
                <c:pt idx="30">
                  <c:v>0.85</c:v>
                </c:pt>
                <c:pt idx="31">
                  <c:v>0.875</c:v>
                </c:pt>
                <c:pt idx="32">
                  <c:v>0.9</c:v>
                </c:pt>
                <c:pt idx="33">
                  <c:v>0.92500000000000004</c:v>
                </c:pt>
                <c:pt idx="34">
                  <c:v>0.95</c:v>
                </c:pt>
                <c:pt idx="35">
                  <c:v>0.97499999999999998</c:v>
                </c:pt>
                <c:pt idx="36">
                  <c:v>1</c:v>
                </c:pt>
              </c:numCache>
            </c:numRef>
          </c:xVal>
          <c:yVal>
            <c:numRef>
              <c:f>Greeks!$J$28:$J$64</c:f>
              <c:numCache>
                <c:formatCode>_(* #,##0.00_);_(* \(#,##0.00\);_(* "-"??_);_(@_)</c:formatCode>
                <c:ptCount val="37"/>
                <c:pt idx="0">
                  <c:v>-1.7248637082645815</c:v>
                </c:pt>
                <c:pt idx="1">
                  <c:v>-2.2372632296499364</c:v>
                </c:pt>
                <c:pt idx="2">
                  <c:v>-2.6180293167276898</c:v>
                </c:pt>
                <c:pt idx="3">
                  <c:v>-2.8954055448039431</c:v>
                </c:pt>
                <c:pt idx="4">
                  <c:v>-3.0956413985642186</c:v>
                </c:pt>
                <c:pt idx="5">
                  <c:v>-3.2390277322443253</c:v>
                </c:pt>
                <c:pt idx="6">
                  <c:v>-3.3404549130485819</c:v>
                </c:pt>
                <c:pt idx="7">
                  <c:v>-3.4107091200530575</c:v>
                </c:pt>
                <c:pt idx="8">
                  <c:v>-3.4576159270638143</c:v>
                </c:pt>
                <c:pt idx="9">
                  <c:v>-3.4868953401928739</c:v>
                </c:pt>
                <c:pt idx="10">
                  <c:v>-3.502768984586754</c:v>
                </c:pt>
                <c:pt idx="11">
                  <c:v>-3.5083847845623568</c:v>
                </c:pt>
                <c:pt idx="12">
                  <c:v>-3.5061138557486102</c:v>
                </c:pt>
                <c:pt idx="13">
                  <c:v>-3.4977593326991663</c:v>
                </c:pt>
                <c:pt idx="14">
                  <c:v>-3.4847045946806059</c:v>
                </c:pt>
                <c:pt idx="15">
                  <c:v>-3.4680195686064561</c:v>
                </c:pt>
                <c:pt idx="16">
                  <c:v>-3.4485377849538619</c:v>
                </c:pt>
                <c:pt idx="17">
                  <c:v>-3.4269128269812477</c:v>
                </c:pt>
                <c:pt idx="18">
                  <c:v>-3.4036601087441536</c:v>
                </c:pt>
                <c:pt idx="19">
                  <c:v>-3.3791880977505024</c:v>
                </c:pt>
                <c:pt idx="20">
                  <c:v>-3.3538218651838374</c:v>
                </c:pt>
                <c:pt idx="21">
                  <c:v>-3.3278210038329274</c:v>
                </c:pt>
                <c:pt idx="22">
                  <c:v>-3.3013933721613671</c:v>
                </c:pt>
                <c:pt idx="23">
                  <c:v>-3.2747057174359488</c:v>
                </c:pt>
                <c:pt idx="24">
                  <c:v>-3.2478919453207311</c:v>
                </c:pt>
                <c:pt idx="25">
                  <c:v>-3.2210596003555096</c:v>
                </c:pt>
                <c:pt idx="26">
                  <c:v>-3.1942949760513044</c:v>
                </c:pt>
                <c:pt idx="27">
                  <c:v>-3.1676671678206336</c:v>
                </c:pt>
                <c:pt idx="28">
                  <c:v>-3.1412313048711544</c:v>
                </c:pt>
                <c:pt idx="29">
                  <c:v>-3.1150311403988757</c:v>
                </c:pt>
                <c:pt idx="30">
                  <c:v>-3.0891011372440662</c:v>
                </c:pt>
                <c:pt idx="31">
                  <c:v>-3.0634681546178859</c:v>
                </c:pt>
                <c:pt idx="32">
                  <c:v>-3.0381528177267394</c:v>
                </c:pt>
                <c:pt idx="33">
                  <c:v>-3.0131706340756272</c:v>
                </c:pt>
                <c:pt idx="34">
                  <c:v>-2.9885329064485653</c:v>
                </c:pt>
                <c:pt idx="35">
                  <c:v>-2.9642474819708617</c:v>
                </c:pt>
                <c:pt idx="36">
                  <c:v>-2.9403193684682121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0-EB4A-AF66-227DD75A0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5583"/>
        <c:axId val="48589999"/>
      </c:scatterChart>
      <c:valAx>
        <c:axId val="48665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999"/>
        <c:crosses val="autoZero"/>
        <c:crossBetween val="midCat"/>
      </c:valAx>
      <c:valAx>
        <c:axId val="4858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5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3</xdr:row>
      <xdr:rowOff>152400</xdr:rowOff>
    </xdr:from>
    <xdr:to>
      <xdr:col>4</xdr:col>
      <xdr:colOff>323850</xdr:colOff>
      <xdr:row>3</xdr:row>
      <xdr:rowOff>152400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05EF068-0AE3-4F4F-94C2-CA763852FC04}"/>
            </a:ext>
          </a:extLst>
        </xdr:cNvPr>
        <xdr:cNvSpPr>
          <a:spLocks noChangeShapeType="1"/>
        </xdr:cNvSpPr>
      </xdr:nvSpPr>
      <xdr:spPr bwMode="auto">
        <a:xfrm>
          <a:off x="504825" y="733425"/>
          <a:ext cx="55435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152400</xdr:colOff>
      <xdr:row>5</xdr:row>
      <xdr:rowOff>9525</xdr:rowOff>
    </xdr:from>
    <xdr:to>
      <xdr:col>4</xdr:col>
      <xdr:colOff>247650</xdr:colOff>
      <xdr:row>9</xdr:row>
      <xdr:rowOff>142875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B7BCA163-AC2E-4EEC-8769-B3303D7C228D}"/>
            </a:ext>
          </a:extLst>
        </xdr:cNvPr>
        <xdr:cNvSpPr>
          <a:spLocks/>
        </xdr:cNvSpPr>
      </xdr:nvSpPr>
      <xdr:spPr bwMode="auto">
        <a:xfrm>
          <a:off x="5876925" y="914400"/>
          <a:ext cx="95250" cy="1466850"/>
        </a:xfrm>
        <a:prstGeom prst="rightBrace">
          <a:avLst>
            <a:gd name="adj1" fmla="val 128333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152400</xdr:colOff>
      <xdr:row>10</xdr:row>
      <xdr:rowOff>66675</xdr:rowOff>
    </xdr:from>
    <xdr:to>
      <xdr:col>4</xdr:col>
      <xdr:colOff>238125</xdr:colOff>
      <xdr:row>12</xdr:row>
      <xdr:rowOff>466725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4EAF3E85-BE56-405C-BAAE-82FB86650F18}"/>
            </a:ext>
          </a:extLst>
        </xdr:cNvPr>
        <xdr:cNvSpPr>
          <a:spLocks/>
        </xdr:cNvSpPr>
      </xdr:nvSpPr>
      <xdr:spPr bwMode="auto">
        <a:xfrm>
          <a:off x="5876925" y="2466975"/>
          <a:ext cx="85725" cy="1247775"/>
        </a:xfrm>
        <a:prstGeom prst="rightBrace">
          <a:avLst>
            <a:gd name="adj1" fmla="val 12129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504825</xdr:colOff>
      <xdr:row>20</xdr:row>
      <xdr:rowOff>152400</xdr:rowOff>
    </xdr:from>
    <xdr:to>
      <xdr:col>4</xdr:col>
      <xdr:colOff>323850</xdr:colOff>
      <xdr:row>20</xdr:row>
      <xdr:rowOff>152400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1CC6477-BDC6-40D4-9A79-503D770E4BA5}"/>
            </a:ext>
          </a:extLst>
        </xdr:cNvPr>
        <xdr:cNvSpPr>
          <a:spLocks noChangeShapeType="1"/>
        </xdr:cNvSpPr>
      </xdr:nvSpPr>
      <xdr:spPr bwMode="auto">
        <a:xfrm>
          <a:off x="504825" y="5114925"/>
          <a:ext cx="55435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152400</xdr:colOff>
      <xdr:row>22</xdr:row>
      <xdr:rowOff>9525</xdr:rowOff>
    </xdr:from>
    <xdr:to>
      <xdr:col>4</xdr:col>
      <xdr:colOff>247650</xdr:colOff>
      <xdr:row>26</xdr:row>
      <xdr:rowOff>142875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C31004D2-2A5C-4CA3-BBB0-8547D2423AC5}"/>
            </a:ext>
          </a:extLst>
        </xdr:cNvPr>
        <xdr:cNvSpPr>
          <a:spLocks/>
        </xdr:cNvSpPr>
      </xdr:nvSpPr>
      <xdr:spPr bwMode="auto">
        <a:xfrm>
          <a:off x="5876925" y="5295900"/>
          <a:ext cx="95250" cy="1466850"/>
        </a:xfrm>
        <a:prstGeom prst="rightBrace">
          <a:avLst>
            <a:gd name="adj1" fmla="val 128333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152400</xdr:colOff>
      <xdr:row>27</xdr:row>
      <xdr:rowOff>66675</xdr:rowOff>
    </xdr:from>
    <xdr:to>
      <xdr:col>4</xdr:col>
      <xdr:colOff>238125</xdr:colOff>
      <xdr:row>29</xdr:row>
      <xdr:rowOff>466725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13717546-6B2C-483F-9DB5-17CB2C24AA2B}"/>
            </a:ext>
          </a:extLst>
        </xdr:cNvPr>
        <xdr:cNvSpPr>
          <a:spLocks/>
        </xdr:cNvSpPr>
      </xdr:nvSpPr>
      <xdr:spPr bwMode="auto">
        <a:xfrm>
          <a:off x="5876925" y="6848475"/>
          <a:ext cx="85725" cy="1247775"/>
        </a:xfrm>
        <a:prstGeom prst="rightBrace">
          <a:avLst>
            <a:gd name="adj1" fmla="val 12129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542925</xdr:colOff>
      <xdr:row>10</xdr:row>
      <xdr:rowOff>28575</xdr:rowOff>
    </xdr:from>
    <xdr:to>
      <xdr:col>4</xdr:col>
      <xdr:colOff>361950</xdr:colOff>
      <xdr:row>10</xdr:row>
      <xdr:rowOff>28575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B957E3F-6545-474D-9944-1ED6729E446F}"/>
            </a:ext>
          </a:extLst>
        </xdr:cNvPr>
        <xdr:cNvSpPr>
          <a:spLocks noChangeShapeType="1"/>
        </xdr:cNvSpPr>
      </xdr:nvSpPr>
      <xdr:spPr bwMode="auto">
        <a:xfrm>
          <a:off x="542925" y="2428875"/>
          <a:ext cx="55435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514350</xdr:colOff>
      <xdr:row>27</xdr:row>
      <xdr:rowOff>28575</xdr:rowOff>
    </xdr:from>
    <xdr:to>
      <xdr:col>4</xdr:col>
      <xdr:colOff>323850</xdr:colOff>
      <xdr:row>27</xdr:row>
      <xdr:rowOff>28575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1743BD68-E1F1-4BA9-8D87-15943E36AFBD}"/>
            </a:ext>
          </a:extLst>
        </xdr:cNvPr>
        <xdr:cNvSpPr>
          <a:spLocks noChangeShapeType="1"/>
        </xdr:cNvSpPr>
      </xdr:nvSpPr>
      <xdr:spPr bwMode="auto">
        <a:xfrm>
          <a:off x="514350" y="6810375"/>
          <a:ext cx="553402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25400</xdr:rowOff>
    </xdr:from>
    <xdr:to>
      <xdr:col>4</xdr:col>
      <xdr:colOff>990600</xdr:colOff>
      <xdr:row>15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CD7329-6B93-35A5-7672-D3C886ECB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1060450</xdr:colOff>
      <xdr:row>1</xdr:row>
      <xdr:rowOff>19050</xdr:rowOff>
    </xdr:from>
    <xdr:to>
      <xdr:col>9</xdr:col>
      <xdr:colOff>184150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101870-E48F-7607-645A-BF7C1A719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254000</xdr:colOff>
      <xdr:row>1</xdr:row>
      <xdr:rowOff>6350</xdr:rowOff>
    </xdr:from>
    <xdr:to>
      <xdr:col>16</xdr:col>
      <xdr:colOff>114300</xdr:colOff>
      <xdr:row>15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22F824-9E77-E3F6-0BF3-5EFDB507E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1549400</xdr:colOff>
      <xdr:row>0</xdr:row>
      <xdr:rowOff>0</xdr:rowOff>
    </xdr:from>
    <xdr:to>
      <xdr:col>9</xdr:col>
      <xdr:colOff>584200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5AC0D9-FC57-53A9-5E6C-C69330CE54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12</xdr:row>
      <xdr:rowOff>127000</xdr:rowOff>
    </xdr:from>
    <xdr:to>
      <xdr:col>10</xdr:col>
      <xdr:colOff>457200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4DF94F-6738-53FE-E3D8-E0E1A2C33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355600</xdr:colOff>
      <xdr:row>3</xdr:row>
      <xdr:rowOff>127000</xdr:rowOff>
    </xdr:from>
    <xdr:to>
      <xdr:col>9</xdr:col>
      <xdr:colOff>800100</xdr:colOff>
      <xdr:row>18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19AAAB-F5CF-FBD1-6185-58E5CCBD0F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469900</xdr:colOff>
      <xdr:row>12</xdr:row>
      <xdr:rowOff>127000</xdr:rowOff>
    </xdr:from>
    <xdr:to>
      <xdr:col>10</xdr:col>
      <xdr:colOff>88900</xdr:colOff>
      <xdr:row>27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98BB26-C8D2-1F4A-5B7F-B50231B896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88900</xdr:rowOff>
    </xdr:from>
    <xdr:to>
      <xdr:col>26</xdr:col>
      <xdr:colOff>584200</xdr:colOff>
      <xdr:row>14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B4AD91-F96A-2206-242B-70F2B437E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317500</xdr:colOff>
      <xdr:row>16</xdr:row>
      <xdr:rowOff>12700</xdr:rowOff>
    </xdr:from>
    <xdr:to>
      <xdr:col>24</xdr:col>
      <xdr:colOff>812800</xdr:colOff>
      <xdr:row>19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8364053-C446-DB9D-C8E4-03EC0E500D27}"/>
            </a:ext>
          </a:extLst>
        </xdr:cNvPr>
        <xdr:cNvSpPr txBox="1"/>
      </xdr:nvSpPr>
      <xdr:spPr>
        <a:xfrm>
          <a:off x="10337800" y="3060700"/>
          <a:ext cx="2971800" cy="67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a call or a put becomes more in-the-money, the delta tends toward +1 for a call, and -1 for a put. Essentially, the call or put price moves in tandem with the underlying stock price.</a:t>
          </a:r>
        </a:p>
      </xdr:txBody>
    </xdr:sp>
    <xdr:clientData/>
  </xdr:twoCellAnchor>
  <xdr:twoCellAnchor>
    <xdr:from>
      <xdr:col>21</xdr:col>
      <xdr:colOff>203200</xdr:colOff>
      <xdr:row>25</xdr:row>
      <xdr:rowOff>127000</xdr:rowOff>
    </xdr:from>
    <xdr:to>
      <xdr:col>26</xdr:col>
      <xdr:colOff>647700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FC0725-1E45-393F-CE32-BE99EBCB8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41</xdr:row>
      <xdr:rowOff>76200</xdr:rowOff>
    </xdr:from>
    <xdr:to>
      <xdr:col>26</xdr:col>
      <xdr:colOff>101600</xdr:colOff>
      <xdr:row>45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1D94128E-E717-9D4F-93C0-1DC3DA9CDA64}"/>
            </a:ext>
          </a:extLst>
        </xdr:cNvPr>
        <xdr:cNvSpPr txBox="1"/>
      </xdr:nvSpPr>
      <xdr:spPr>
        <a:xfrm>
          <a:off x="10845800" y="7886700"/>
          <a:ext cx="3403600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option's maturity T increases, the dlta of an at-the-money and an out-of-the money call increases, whereas</a:t>
          </a:r>
          <a:r>
            <a:rPr lang="en-US" sz="1100" baseline="0"/>
            <a:t> the delta of an in-the-money call decreases.</a:t>
          </a:r>
          <a:endParaRPr lang="en-US" sz="1100"/>
        </a:p>
      </xdr:txBody>
    </xdr:sp>
    <xdr:clientData/>
  </xdr:twoCellAnchor>
  <xdr:twoCellAnchor>
    <xdr:from>
      <xdr:col>10</xdr:col>
      <xdr:colOff>190500</xdr:colOff>
      <xdr:row>2</xdr:row>
      <xdr:rowOff>38100</xdr:rowOff>
    </xdr:from>
    <xdr:to>
      <xdr:col>15</xdr:col>
      <xdr:colOff>635000</xdr:colOff>
      <xdr:row>16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7FD3BC3-D50C-AF9C-7391-0B1834181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101600</xdr:colOff>
      <xdr:row>26</xdr:row>
      <xdr:rowOff>114300</xdr:rowOff>
    </xdr:from>
    <xdr:to>
      <xdr:col>15</xdr:col>
      <xdr:colOff>546100</xdr:colOff>
      <xdr:row>41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8536BF0-2F6A-EF41-2DCA-C5889D5FC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42</xdr:row>
      <xdr:rowOff>0</xdr:rowOff>
    </xdr:from>
    <xdr:to>
      <xdr:col>15</xdr:col>
      <xdr:colOff>88900</xdr:colOff>
      <xdr:row>47</xdr:row>
      <xdr:rowOff>12700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930966C-A489-EB44-AA21-3B4DBCCFDF8A}"/>
            </a:ext>
          </a:extLst>
        </xdr:cNvPr>
        <xdr:cNvSpPr txBox="1"/>
      </xdr:nvSpPr>
      <xdr:spPr>
        <a:xfrm>
          <a:off x="10617200" y="8001000"/>
          <a:ext cx="3390900" cy="965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option's maturity T increases, the theta of an at-the-money</a:t>
          </a:r>
          <a:r>
            <a:rPr lang="en-US" sz="1100" baseline="0"/>
            <a:t> </a:t>
          </a:r>
          <a:r>
            <a:rPr lang="en-US" sz="1100"/>
            <a:t>call increases, whereas</a:t>
          </a:r>
          <a:r>
            <a:rPr lang="en-US" sz="1100" baseline="0"/>
            <a:t> the theta of an in-the-money  and out-of-money call decreases until it plateaus at half a year and slightly increases.</a:t>
          </a:r>
          <a:endParaRPr lang="en-US" sz="1100"/>
        </a:p>
      </xdr:txBody>
    </xdr:sp>
    <xdr:clientData/>
  </xdr:twoCellAnchor>
  <xdr:twoCellAnchor>
    <xdr:from>
      <xdr:col>11</xdr:col>
      <xdr:colOff>571500</xdr:colOff>
      <xdr:row>18</xdr:row>
      <xdr:rowOff>0</xdr:rowOff>
    </xdr:from>
    <xdr:to>
      <xdr:col>15</xdr:col>
      <xdr:colOff>241300</xdr:colOff>
      <xdr:row>23</xdr:row>
      <xdr:rowOff>165100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55E7A94-0025-3948-984F-80DC04B298E2}"/>
            </a:ext>
          </a:extLst>
        </xdr:cNvPr>
        <xdr:cNvSpPr txBox="1"/>
      </xdr:nvSpPr>
      <xdr:spPr>
        <a:xfrm>
          <a:off x="11188700" y="3429000"/>
          <a:ext cx="29718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</a:t>
          </a:r>
          <a:r>
            <a:rPr lang="en-US" sz="1100" baseline="0"/>
            <a:t> call and put thetas dip at around $50 and th4n gradually increase and intersect at $90</a:t>
          </a:r>
          <a:r>
            <a:rPr lang="en-US" sz="1100"/>
            <a:t>.After which,</a:t>
          </a:r>
          <a:r>
            <a:rPr lang="en-US" sz="1100" baseline="0"/>
            <a:t> the call theta increases steadily with the stock price and the put theta slowly increases withe stock price. 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D5772-C7EB-41CE-B653-9448BF67700D}">
  <sheetPr codeName="Sheet2"/>
  <dimension ref="A1:F31"/>
  <sheetViews>
    <sheetView workbookViewId="0">
      <selection activeCell="I12" sqref="I12"/>
    </sheetView>
  </sheetViews>
  <sheetFormatPr baseColWidth="10" defaultColWidth="9.1640625" defaultRowHeight="13" x14ac:dyDescent="0.15"/>
  <cols>
    <col min="1" max="1" width="9.1640625" style="1"/>
    <col min="2" max="2" width="24.33203125" style="1" customWidth="1"/>
    <col min="3" max="3" width="32.5" style="1" customWidth="1"/>
    <col min="4" max="4" width="20" style="1" customWidth="1"/>
    <col min="5" max="5" width="9.1640625" style="1"/>
    <col min="6" max="6" width="11.83203125" style="1" customWidth="1"/>
    <col min="7" max="16384" width="9.1640625" style="1"/>
  </cols>
  <sheetData>
    <row r="1" spans="1:6" ht="20" x14ac:dyDescent="0.2">
      <c r="A1" s="18" t="s">
        <v>0</v>
      </c>
      <c r="B1" s="19"/>
      <c r="C1" s="19"/>
      <c r="D1" s="19"/>
      <c r="E1" s="19"/>
      <c r="F1" s="20"/>
    </row>
    <row r="2" spans="1:6" x14ac:dyDescent="0.15">
      <c r="A2" s="2"/>
      <c r="F2" s="3"/>
    </row>
    <row r="3" spans="1:6" s="5" customFormat="1" x14ac:dyDescent="0.15">
      <c r="A3" s="4"/>
      <c r="B3" s="5" t="s">
        <v>1</v>
      </c>
      <c r="D3" s="5" t="s">
        <v>2</v>
      </c>
      <c r="F3" s="6"/>
    </row>
    <row r="4" spans="1:6" x14ac:dyDescent="0.15">
      <c r="A4" s="2"/>
      <c r="F4" s="3"/>
    </row>
    <row r="5" spans="1:6" x14ac:dyDescent="0.15">
      <c r="A5" s="2"/>
      <c r="F5" s="3"/>
    </row>
    <row r="6" spans="1:6" ht="30" x14ac:dyDescent="0.2">
      <c r="A6" s="2"/>
      <c r="B6" s="7" t="s">
        <v>3</v>
      </c>
      <c r="D6" s="7" t="s">
        <v>4</v>
      </c>
      <c r="F6" s="3"/>
    </row>
    <row r="7" spans="1:6" ht="28" x14ac:dyDescent="0.15">
      <c r="A7" s="2"/>
      <c r="F7" s="8" t="s">
        <v>5</v>
      </c>
    </row>
    <row r="8" spans="1:6" ht="42" x14ac:dyDescent="0.15">
      <c r="A8" s="2"/>
      <c r="C8" s="7" t="s">
        <v>6</v>
      </c>
      <c r="F8" s="3"/>
    </row>
    <row r="9" spans="1:6" x14ac:dyDescent="0.15">
      <c r="A9" s="2"/>
      <c r="F9" s="3"/>
    </row>
    <row r="10" spans="1:6" x14ac:dyDescent="0.15">
      <c r="A10" s="2"/>
      <c r="F10" s="3"/>
    </row>
    <row r="11" spans="1:6" ht="30" x14ac:dyDescent="0.2">
      <c r="A11" s="2"/>
      <c r="B11" s="7" t="s">
        <v>7</v>
      </c>
      <c r="D11" s="7" t="s">
        <v>8</v>
      </c>
      <c r="F11" s="3"/>
    </row>
    <row r="12" spans="1:6" ht="28" x14ac:dyDescent="0.15">
      <c r="A12" s="2"/>
      <c r="F12" s="8" t="s">
        <v>9</v>
      </c>
    </row>
    <row r="13" spans="1:6" ht="42" x14ac:dyDescent="0.15">
      <c r="A13" s="2"/>
      <c r="C13" s="7" t="s">
        <v>10</v>
      </c>
      <c r="F13" s="3"/>
    </row>
    <row r="14" spans="1:6" x14ac:dyDescent="0.15">
      <c r="A14" s="9"/>
      <c r="B14" s="10"/>
      <c r="C14" s="10"/>
      <c r="D14" s="10"/>
      <c r="E14" s="10"/>
      <c r="F14" s="11"/>
    </row>
    <row r="18" spans="1:6" ht="20" x14ac:dyDescent="0.2">
      <c r="A18" s="18" t="s">
        <v>11</v>
      </c>
      <c r="B18" s="19"/>
      <c r="C18" s="19"/>
      <c r="D18" s="19"/>
      <c r="E18" s="19"/>
      <c r="F18" s="20"/>
    </row>
    <row r="19" spans="1:6" x14ac:dyDescent="0.15">
      <c r="A19" s="2"/>
      <c r="F19" s="3"/>
    </row>
    <row r="20" spans="1:6" x14ac:dyDescent="0.15">
      <c r="A20" s="4"/>
      <c r="B20" s="5" t="s">
        <v>1</v>
      </c>
      <c r="C20" s="5"/>
      <c r="D20" s="5" t="s">
        <v>2</v>
      </c>
      <c r="E20" s="5"/>
      <c r="F20" s="6"/>
    </row>
    <row r="21" spans="1:6" x14ac:dyDescent="0.15">
      <c r="A21" s="2"/>
      <c r="F21" s="3"/>
    </row>
    <row r="22" spans="1:6" x14ac:dyDescent="0.15">
      <c r="A22" s="2"/>
      <c r="F22" s="3"/>
    </row>
    <row r="23" spans="1:6" ht="30" x14ac:dyDescent="0.2">
      <c r="A23" s="2"/>
      <c r="B23" s="7" t="s">
        <v>12</v>
      </c>
      <c r="D23" s="7" t="s">
        <v>13</v>
      </c>
      <c r="F23" s="3"/>
    </row>
    <row r="24" spans="1:6" ht="28" x14ac:dyDescent="0.15">
      <c r="A24" s="2"/>
      <c r="F24" s="8" t="s">
        <v>14</v>
      </c>
    </row>
    <row r="25" spans="1:6" ht="42" x14ac:dyDescent="0.15">
      <c r="A25" s="2"/>
      <c r="C25" s="7" t="s">
        <v>6</v>
      </c>
      <c r="F25" s="3"/>
    </row>
    <row r="26" spans="1:6" x14ac:dyDescent="0.15">
      <c r="A26" s="2"/>
      <c r="F26" s="3"/>
    </row>
    <row r="27" spans="1:6" x14ac:dyDescent="0.15">
      <c r="A27" s="2"/>
      <c r="F27" s="3"/>
    </row>
    <row r="28" spans="1:6" ht="30" x14ac:dyDescent="0.2">
      <c r="A28" s="2"/>
      <c r="B28" s="7" t="s">
        <v>7</v>
      </c>
      <c r="D28" s="7" t="s">
        <v>15</v>
      </c>
      <c r="F28" s="3"/>
    </row>
    <row r="29" spans="1:6" ht="28" x14ac:dyDescent="0.15">
      <c r="A29" s="2"/>
      <c r="F29" s="8" t="s">
        <v>16</v>
      </c>
    </row>
    <row r="30" spans="1:6" ht="42" x14ac:dyDescent="0.15">
      <c r="A30" s="2"/>
      <c r="C30" s="7" t="s">
        <v>10</v>
      </c>
      <c r="F30" s="3"/>
    </row>
    <row r="31" spans="1:6" x14ac:dyDescent="0.15">
      <c r="A31" s="9"/>
      <c r="B31" s="10"/>
      <c r="C31" s="10"/>
      <c r="D31" s="10"/>
      <c r="E31" s="10"/>
      <c r="F31" s="11"/>
    </row>
  </sheetData>
  <mergeCells count="2">
    <mergeCell ref="A1:F1"/>
    <mergeCell ref="A18:F18"/>
  </mergeCell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41"/>
  <sheetViews>
    <sheetView tabSelected="1" workbookViewId="0">
      <selection activeCell="A2" sqref="A2:A15"/>
    </sheetView>
  </sheetViews>
  <sheetFormatPr baseColWidth="10" defaultColWidth="8.83203125" defaultRowHeight="15" x14ac:dyDescent="0.2"/>
  <cols>
    <col min="1" max="1" width="34" customWidth="1"/>
    <col min="2" max="2" width="19.5" bestFit="1" customWidth="1"/>
    <col min="3" max="3" width="23.6640625" bestFit="1" customWidth="1"/>
    <col min="4" max="4" width="18.1640625" bestFit="1" customWidth="1"/>
    <col min="5" max="5" width="17.83203125" bestFit="1" customWidth="1"/>
    <col min="6" max="6" width="18.1640625" bestFit="1" customWidth="1"/>
    <col min="7" max="7" width="17.83203125" bestFit="1" customWidth="1"/>
  </cols>
  <sheetData>
    <row r="2" spans="1:2" x14ac:dyDescent="0.2">
      <c r="A2" t="s">
        <v>17</v>
      </c>
      <c r="B2" s="13">
        <v>40</v>
      </c>
    </row>
    <row r="3" spans="1:2" x14ac:dyDescent="0.2">
      <c r="A3" t="s">
        <v>18</v>
      </c>
      <c r="B3" s="12">
        <v>70</v>
      </c>
    </row>
    <row r="5" spans="1:2" x14ac:dyDescent="0.2">
      <c r="A5" t="s">
        <v>19</v>
      </c>
      <c r="B5" s="13">
        <f>B3-B2</f>
        <v>30</v>
      </c>
    </row>
    <row r="6" spans="1:2" x14ac:dyDescent="0.2">
      <c r="A6" t="s">
        <v>20</v>
      </c>
      <c r="B6" s="13">
        <f>B2-B3</f>
        <v>-30</v>
      </c>
    </row>
    <row r="8" spans="1:2" x14ac:dyDescent="0.2">
      <c r="A8" t="s">
        <v>21</v>
      </c>
      <c r="B8" s="12">
        <v>40</v>
      </c>
    </row>
    <row r="9" spans="1:2" x14ac:dyDescent="0.2">
      <c r="A9" t="s">
        <v>22</v>
      </c>
      <c r="B9" s="12">
        <v>4</v>
      </c>
    </row>
    <row r="10" spans="1:2" x14ac:dyDescent="0.2">
      <c r="A10" t="s">
        <v>23</v>
      </c>
      <c r="B10" s="12">
        <f>MAX(B3-B8,0)-B9</f>
        <v>26</v>
      </c>
    </row>
    <row r="11" spans="1:2" x14ac:dyDescent="0.2">
      <c r="A11" t="s">
        <v>24</v>
      </c>
      <c r="B11" s="12">
        <f>B9-MAX(B3-B8,0)</f>
        <v>-26</v>
      </c>
    </row>
    <row r="13" spans="1:2" x14ac:dyDescent="0.2">
      <c r="A13" t="s">
        <v>25</v>
      </c>
      <c r="B13" s="12">
        <v>40</v>
      </c>
    </row>
    <row r="14" spans="1:2" x14ac:dyDescent="0.2">
      <c r="A14" t="s">
        <v>26</v>
      </c>
      <c r="B14" s="12">
        <v>2</v>
      </c>
    </row>
    <row r="15" spans="1:2" x14ac:dyDescent="0.2">
      <c r="A15" t="s">
        <v>27</v>
      </c>
      <c r="B15" s="12">
        <f>MAX(B13-B3,0)-B14</f>
        <v>-2</v>
      </c>
    </row>
    <row r="16" spans="1:2" x14ac:dyDescent="0.2">
      <c r="A16" t="s">
        <v>28</v>
      </c>
      <c r="B16" s="12">
        <f>B14-MAX(B13-B3,0)</f>
        <v>2</v>
      </c>
    </row>
    <row r="19" spans="1:7" x14ac:dyDescent="0.2">
      <c r="B19" t="s">
        <v>19</v>
      </c>
      <c r="C19" t="s">
        <v>20</v>
      </c>
      <c r="D19" t="s">
        <v>23</v>
      </c>
      <c r="E19" t="s">
        <v>24</v>
      </c>
      <c r="F19" t="s">
        <v>27</v>
      </c>
      <c r="G19" t="s">
        <v>28</v>
      </c>
    </row>
    <row r="20" spans="1:7" x14ac:dyDescent="0.2">
      <c r="A20" t="s">
        <v>29</v>
      </c>
      <c r="B20" s="13">
        <f>B5</f>
        <v>30</v>
      </c>
      <c r="C20" s="13">
        <f>B6</f>
        <v>-30</v>
      </c>
      <c r="D20" s="13">
        <f>B10</f>
        <v>26</v>
      </c>
      <c r="E20" s="13">
        <f>B11</f>
        <v>-26</v>
      </c>
      <c r="F20" s="13">
        <f>B15</f>
        <v>-2</v>
      </c>
      <c r="G20" s="13">
        <f>B16</f>
        <v>2</v>
      </c>
    </row>
    <row r="21" spans="1:7" x14ac:dyDescent="0.2">
      <c r="A21">
        <v>0</v>
      </c>
      <c r="B21" s="12">
        <f t="dataTable" ref="B21:G41" dt2D="0" dtr="0" r1="B3"/>
        <v>-40</v>
      </c>
      <c r="C21" s="12">
        <v>40</v>
      </c>
      <c r="D21" s="12">
        <v>-4</v>
      </c>
      <c r="E21" s="12">
        <v>4</v>
      </c>
      <c r="F21" s="12">
        <v>38</v>
      </c>
      <c r="G21" s="12">
        <v>-38</v>
      </c>
    </row>
    <row r="22" spans="1:7" x14ac:dyDescent="0.2">
      <c r="A22">
        <v>5</v>
      </c>
      <c r="B22" s="12">
        <v>-35</v>
      </c>
      <c r="C22" s="12">
        <v>35</v>
      </c>
      <c r="D22" s="12">
        <v>-4</v>
      </c>
      <c r="E22" s="12">
        <v>4</v>
      </c>
      <c r="F22" s="12">
        <v>33</v>
      </c>
      <c r="G22" s="12">
        <v>-33</v>
      </c>
    </row>
    <row r="23" spans="1:7" x14ac:dyDescent="0.2">
      <c r="A23">
        <v>10</v>
      </c>
      <c r="B23" s="12">
        <v>-30</v>
      </c>
      <c r="C23" s="12">
        <v>30</v>
      </c>
      <c r="D23" s="12">
        <v>-4</v>
      </c>
      <c r="E23" s="12">
        <v>4</v>
      </c>
      <c r="F23" s="12">
        <v>28</v>
      </c>
      <c r="G23" s="12">
        <v>-28</v>
      </c>
    </row>
    <row r="24" spans="1:7" x14ac:dyDescent="0.2">
      <c r="A24">
        <v>15</v>
      </c>
      <c r="B24" s="12">
        <v>-25</v>
      </c>
      <c r="C24" s="12">
        <v>25</v>
      </c>
      <c r="D24" s="12">
        <v>-4</v>
      </c>
      <c r="E24" s="12">
        <v>4</v>
      </c>
      <c r="F24" s="12">
        <v>23</v>
      </c>
      <c r="G24" s="12">
        <v>-23</v>
      </c>
    </row>
    <row r="25" spans="1:7" x14ac:dyDescent="0.2">
      <c r="A25">
        <v>20</v>
      </c>
      <c r="B25" s="12">
        <v>-20</v>
      </c>
      <c r="C25" s="12">
        <v>20</v>
      </c>
      <c r="D25" s="12">
        <v>-4</v>
      </c>
      <c r="E25" s="12">
        <v>4</v>
      </c>
      <c r="F25" s="12">
        <v>18</v>
      </c>
      <c r="G25" s="12">
        <v>-18</v>
      </c>
    </row>
    <row r="26" spans="1:7" x14ac:dyDescent="0.2">
      <c r="A26">
        <v>25</v>
      </c>
      <c r="B26" s="12">
        <v>-15</v>
      </c>
      <c r="C26" s="12">
        <v>15</v>
      </c>
      <c r="D26" s="12">
        <v>-4</v>
      </c>
      <c r="E26" s="12">
        <v>4</v>
      </c>
      <c r="F26" s="12">
        <v>13</v>
      </c>
      <c r="G26" s="12">
        <v>-13</v>
      </c>
    </row>
    <row r="27" spans="1:7" x14ac:dyDescent="0.2">
      <c r="A27">
        <v>30</v>
      </c>
      <c r="B27" s="12">
        <v>-10</v>
      </c>
      <c r="C27" s="12">
        <v>10</v>
      </c>
      <c r="D27" s="12">
        <v>-4</v>
      </c>
      <c r="E27" s="12">
        <v>4</v>
      </c>
      <c r="F27" s="12">
        <v>8</v>
      </c>
      <c r="G27" s="12">
        <v>-8</v>
      </c>
    </row>
    <row r="28" spans="1:7" x14ac:dyDescent="0.2">
      <c r="A28">
        <v>35</v>
      </c>
      <c r="B28" s="12">
        <v>-5</v>
      </c>
      <c r="C28" s="12">
        <v>5</v>
      </c>
      <c r="D28" s="12">
        <v>-4</v>
      </c>
      <c r="E28" s="12">
        <v>4</v>
      </c>
      <c r="F28" s="12">
        <v>3</v>
      </c>
      <c r="G28" s="12">
        <v>-3</v>
      </c>
    </row>
    <row r="29" spans="1:7" x14ac:dyDescent="0.2">
      <c r="A29">
        <v>40</v>
      </c>
      <c r="B29" s="12">
        <v>0</v>
      </c>
      <c r="C29" s="12">
        <v>0</v>
      </c>
      <c r="D29" s="12">
        <v>-4</v>
      </c>
      <c r="E29" s="12">
        <v>4</v>
      </c>
      <c r="F29" s="12">
        <v>-2</v>
      </c>
      <c r="G29" s="12">
        <v>2</v>
      </c>
    </row>
    <row r="30" spans="1:7" x14ac:dyDescent="0.2">
      <c r="A30">
        <v>45</v>
      </c>
      <c r="B30" s="12">
        <v>5</v>
      </c>
      <c r="C30" s="12">
        <v>-5</v>
      </c>
      <c r="D30" s="12">
        <v>1</v>
      </c>
      <c r="E30" s="12">
        <v>-1</v>
      </c>
      <c r="F30" s="12">
        <v>-2</v>
      </c>
      <c r="G30" s="12">
        <v>2</v>
      </c>
    </row>
    <row r="31" spans="1:7" x14ac:dyDescent="0.2">
      <c r="A31">
        <v>50</v>
      </c>
      <c r="B31" s="12">
        <v>10</v>
      </c>
      <c r="C31" s="12">
        <v>-10</v>
      </c>
      <c r="D31" s="12">
        <v>6</v>
      </c>
      <c r="E31" s="12">
        <v>-6</v>
      </c>
      <c r="F31" s="12">
        <v>-2</v>
      </c>
      <c r="G31" s="12">
        <v>2</v>
      </c>
    </row>
    <row r="32" spans="1:7" x14ac:dyDescent="0.2">
      <c r="A32">
        <v>55</v>
      </c>
      <c r="B32" s="12">
        <v>15</v>
      </c>
      <c r="C32" s="12">
        <v>-15</v>
      </c>
      <c r="D32" s="12">
        <v>11</v>
      </c>
      <c r="E32" s="12">
        <v>-11</v>
      </c>
      <c r="F32" s="12">
        <v>-2</v>
      </c>
      <c r="G32" s="12">
        <v>2</v>
      </c>
    </row>
    <row r="33" spans="1:7" x14ac:dyDescent="0.2">
      <c r="A33">
        <v>60</v>
      </c>
      <c r="B33" s="12">
        <v>20</v>
      </c>
      <c r="C33" s="12">
        <v>-20</v>
      </c>
      <c r="D33" s="12">
        <v>16</v>
      </c>
      <c r="E33" s="12">
        <v>-16</v>
      </c>
      <c r="F33" s="12">
        <v>-2</v>
      </c>
      <c r="G33" s="12">
        <v>2</v>
      </c>
    </row>
    <row r="34" spans="1:7" x14ac:dyDescent="0.2">
      <c r="A34">
        <v>65</v>
      </c>
      <c r="B34" s="12">
        <v>25</v>
      </c>
      <c r="C34" s="12">
        <v>-25</v>
      </c>
      <c r="D34" s="12">
        <v>21</v>
      </c>
      <c r="E34" s="12">
        <v>-21</v>
      </c>
      <c r="F34" s="12">
        <v>-2</v>
      </c>
      <c r="G34" s="12">
        <v>2</v>
      </c>
    </row>
    <row r="35" spans="1:7" x14ac:dyDescent="0.2">
      <c r="A35">
        <v>70</v>
      </c>
      <c r="B35" s="12">
        <v>30</v>
      </c>
      <c r="C35" s="12">
        <v>-30</v>
      </c>
      <c r="D35" s="12">
        <v>26</v>
      </c>
      <c r="E35" s="12">
        <v>-26</v>
      </c>
      <c r="F35" s="12">
        <v>-2</v>
      </c>
      <c r="G35" s="12">
        <v>2</v>
      </c>
    </row>
    <row r="36" spans="1:7" x14ac:dyDescent="0.2">
      <c r="A36">
        <v>75</v>
      </c>
      <c r="B36" s="12">
        <v>35</v>
      </c>
      <c r="C36" s="12">
        <v>-35</v>
      </c>
      <c r="D36" s="12">
        <v>31</v>
      </c>
      <c r="E36" s="12">
        <v>-31</v>
      </c>
      <c r="F36" s="12">
        <v>-2</v>
      </c>
      <c r="G36" s="12">
        <v>2</v>
      </c>
    </row>
    <row r="37" spans="1:7" x14ac:dyDescent="0.2">
      <c r="A37">
        <v>80</v>
      </c>
      <c r="B37" s="12">
        <v>40</v>
      </c>
      <c r="C37" s="12">
        <v>-40</v>
      </c>
      <c r="D37" s="12">
        <v>36</v>
      </c>
      <c r="E37" s="12">
        <v>-36</v>
      </c>
      <c r="F37" s="12">
        <v>-2</v>
      </c>
      <c r="G37" s="12">
        <v>2</v>
      </c>
    </row>
    <row r="38" spans="1:7" x14ac:dyDescent="0.2">
      <c r="A38">
        <v>85</v>
      </c>
      <c r="B38" s="12">
        <v>45</v>
      </c>
      <c r="C38" s="12">
        <v>-45</v>
      </c>
      <c r="D38" s="12">
        <v>41</v>
      </c>
      <c r="E38" s="12">
        <v>-41</v>
      </c>
      <c r="F38" s="12">
        <v>-2</v>
      </c>
      <c r="G38" s="12">
        <v>2</v>
      </c>
    </row>
    <row r="39" spans="1:7" x14ac:dyDescent="0.2">
      <c r="A39">
        <v>90</v>
      </c>
      <c r="B39" s="12">
        <v>50</v>
      </c>
      <c r="C39" s="12">
        <v>-50</v>
      </c>
      <c r="D39" s="12">
        <v>46</v>
      </c>
      <c r="E39" s="12">
        <v>-46</v>
      </c>
      <c r="F39" s="12">
        <v>-2</v>
      </c>
      <c r="G39" s="12">
        <v>2</v>
      </c>
    </row>
    <row r="40" spans="1:7" x14ac:dyDescent="0.2">
      <c r="A40">
        <v>95</v>
      </c>
      <c r="B40" s="12">
        <v>55</v>
      </c>
      <c r="C40" s="12">
        <v>-55</v>
      </c>
      <c r="D40" s="12">
        <v>51</v>
      </c>
      <c r="E40" s="12">
        <v>-51</v>
      </c>
      <c r="F40" s="12">
        <v>-2</v>
      </c>
      <c r="G40" s="12">
        <v>2</v>
      </c>
    </row>
    <row r="41" spans="1:7" x14ac:dyDescent="0.2">
      <c r="A41">
        <v>100</v>
      </c>
      <c r="B41" s="12">
        <v>60</v>
      </c>
      <c r="C41" s="12">
        <v>-60</v>
      </c>
      <c r="D41" s="12">
        <v>56</v>
      </c>
      <c r="E41" s="12">
        <v>-56</v>
      </c>
      <c r="F41" s="12">
        <v>-2</v>
      </c>
      <c r="G41" s="12"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567C-16F0-F047-B513-6D37DAFDF61F}">
  <sheetPr codeName="Sheet3"/>
  <dimension ref="A2:D35"/>
  <sheetViews>
    <sheetView workbookViewId="0">
      <selection activeCell="A14" sqref="A14"/>
    </sheetView>
  </sheetViews>
  <sheetFormatPr baseColWidth="10" defaultColWidth="11.5" defaultRowHeight="15" x14ac:dyDescent="0.2"/>
  <cols>
    <col min="1" max="1" width="26.6640625" bestFit="1" customWidth="1"/>
    <col min="2" max="2" width="19.5" bestFit="1" customWidth="1"/>
    <col min="3" max="3" width="18.1640625" bestFit="1" customWidth="1"/>
    <col min="4" max="4" width="26.6640625" bestFit="1" customWidth="1"/>
  </cols>
  <sheetData>
    <row r="2" spans="1:4" x14ac:dyDescent="0.2">
      <c r="A2" t="s">
        <v>17</v>
      </c>
      <c r="B2" s="12">
        <v>40</v>
      </c>
    </row>
    <row r="3" spans="1:4" x14ac:dyDescent="0.2">
      <c r="A3" t="s">
        <v>18</v>
      </c>
      <c r="B3" s="12">
        <v>30</v>
      </c>
    </row>
    <row r="5" spans="1:4" x14ac:dyDescent="0.2">
      <c r="A5" t="s">
        <v>25</v>
      </c>
      <c r="B5" s="12">
        <v>40</v>
      </c>
    </row>
    <row r="6" spans="1:4" x14ac:dyDescent="0.2">
      <c r="A6" t="s">
        <v>26</v>
      </c>
      <c r="B6" s="12">
        <v>2</v>
      </c>
    </row>
    <row r="7" spans="1:4" x14ac:dyDescent="0.2">
      <c r="B7" s="12"/>
    </row>
    <row r="8" spans="1:4" x14ac:dyDescent="0.2">
      <c r="B8" s="12"/>
    </row>
    <row r="9" spans="1:4" x14ac:dyDescent="0.2">
      <c r="A9" t="s">
        <v>19</v>
      </c>
      <c r="B9" s="13">
        <f>B3-B2</f>
        <v>-10</v>
      </c>
    </row>
    <row r="10" spans="1:4" x14ac:dyDescent="0.2">
      <c r="A10" t="s">
        <v>27</v>
      </c>
      <c r="B10" s="13">
        <f>MAX(B5-B3,0)-B6</f>
        <v>8</v>
      </c>
    </row>
    <row r="11" spans="1:4" x14ac:dyDescent="0.2">
      <c r="A11" t="s">
        <v>30</v>
      </c>
      <c r="B11" s="13">
        <f>B9+B10</f>
        <v>-2</v>
      </c>
      <c r="C11" t="s">
        <v>31</v>
      </c>
    </row>
    <row r="13" spans="1:4" x14ac:dyDescent="0.2">
      <c r="B13" t="s">
        <v>19</v>
      </c>
      <c r="C13" t="s">
        <v>27</v>
      </c>
      <c r="D13" t="s">
        <v>30</v>
      </c>
    </row>
    <row r="14" spans="1:4" x14ac:dyDescent="0.2">
      <c r="A14" t="s">
        <v>18</v>
      </c>
      <c r="B14" s="13">
        <f>B9</f>
        <v>-10</v>
      </c>
      <c r="C14" s="13">
        <f>B10</f>
        <v>8</v>
      </c>
      <c r="D14" s="13">
        <f>B11</f>
        <v>-2</v>
      </c>
    </row>
    <row r="15" spans="1:4" x14ac:dyDescent="0.2">
      <c r="A15">
        <v>0</v>
      </c>
      <c r="B15" s="12">
        <f t="dataTable" ref="B15:D35" dt2D="0" dtr="0" r1="B3"/>
        <v>-40</v>
      </c>
      <c r="C15" s="12">
        <v>38</v>
      </c>
      <c r="D15" s="12">
        <v>-2</v>
      </c>
    </row>
    <row r="16" spans="1:4" x14ac:dyDescent="0.2">
      <c r="A16">
        <v>5</v>
      </c>
      <c r="B16" s="12">
        <v>-35</v>
      </c>
      <c r="C16" s="12">
        <v>33</v>
      </c>
      <c r="D16" s="12">
        <v>-2</v>
      </c>
    </row>
    <row r="17" spans="1:4" x14ac:dyDescent="0.2">
      <c r="A17">
        <v>10</v>
      </c>
      <c r="B17" s="12">
        <v>-30</v>
      </c>
      <c r="C17" s="12">
        <v>28</v>
      </c>
      <c r="D17" s="12">
        <v>-2</v>
      </c>
    </row>
    <row r="18" spans="1:4" x14ac:dyDescent="0.2">
      <c r="A18">
        <v>15</v>
      </c>
      <c r="B18" s="12">
        <v>-25</v>
      </c>
      <c r="C18" s="12">
        <v>23</v>
      </c>
      <c r="D18" s="12">
        <v>-2</v>
      </c>
    </row>
    <row r="19" spans="1:4" x14ac:dyDescent="0.2">
      <c r="A19">
        <v>20</v>
      </c>
      <c r="B19" s="12">
        <v>-20</v>
      </c>
      <c r="C19" s="12">
        <v>18</v>
      </c>
      <c r="D19" s="12">
        <v>-2</v>
      </c>
    </row>
    <row r="20" spans="1:4" x14ac:dyDescent="0.2">
      <c r="A20">
        <v>25</v>
      </c>
      <c r="B20" s="12">
        <v>-15</v>
      </c>
      <c r="C20" s="12">
        <v>13</v>
      </c>
      <c r="D20" s="12">
        <v>-2</v>
      </c>
    </row>
    <row r="21" spans="1:4" x14ac:dyDescent="0.2">
      <c r="A21">
        <v>30</v>
      </c>
      <c r="B21" s="12">
        <v>-10</v>
      </c>
      <c r="C21" s="12">
        <v>8</v>
      </c>
      <c r="D21" s="12">
        <v>-2</v>
      </c>
    </row>
    <row r="22" spans="1:4" x14ac:dyDescent="0.2">
      <c r="A22">
        <v>35</v>
      </c>
      <c r="B22" s="12">
        <v>-5</v>
      </c>
      <c r="C22" s="12">
        <v>3</v>
      </c>
      <c r="D22" s="12">
        <v>-2</v>
      </c>
    </row>
    <row r="23" spans="1:4" x14ac:dyDescent="0.2">
      <c r="A23">
        <v>40</v>
      </c>
      <c r="B23" s="12">
        <v>0</v>
      </c>
      <c r="C23" s="12">
        <v>-2</v>
      </c>
      <c r="D23" s="12">
        <v>-2</v>
      </c>
    </row>
    <row r="24" spans="1:4" x14ac:dyDescent="0.2">
      <c r="A24">
        <v>45</v>
      </c>
      <c r="B24" s="12">
        <v>5</v>
      </c>
      <c r="C24" s="12">
        <v>-2</v>
      </c>
      <c r="D24" s="12">
        <v>3</v>
      </c>
    </row>
    <row r="25" spans="1:4" x14ac:dyDescent="0.2">
      <c r="A25">
        <v>50</v>
      </c>
      <c r="B25" s="12">
        <v>10</v>
      </c>
      <c r="C25" s="12">
        <v>-2</v>
      </c>
      <c r="D25" s="12">
        <v>8</v>
      </c>
    </row>
    <row r="26" spans="1:4" x14ac:dyDescent="0.2">
      <c r="A26">
        <v>55</v>
      </c>
      <c r="B26" s="12">
        <v>15</v>
      </c>
      <c r="C26" s="12">
        <v>-2</v>
      </c>
      <c r="D26" s="12">
        <v>13</v>
      </c>
    </row>
    <row r="27" spans="1:4" x14ac:dyDescent="0.2">
      <c r="A27">
        <v>60</v>
      </c>
      <c r="B27" s="12">
        <v>20</v>
      </c>
      <c r="C27" s="12">
        <v>-2</v>
      </c>
      <c r="D27" s="12">
        <v>18</v>
      </c>
    </row>
    <row r="28" spans="1:4" x14ac:dyDescent="0.2">
      <c r="A28">
        <v>65</v>
      </c>
      <c r="B28" s="12">
        <v>25</v>
      </c>
      <c r="C28" s="12">
        <v>-2</v>
      </c>
      <c r="D28" s="12">
        <v>23</v>
      </c>
    </row>
    <row r="29" spans="1:4" x14ac:dyDescent="0.2">
      <c r="A29">
        <v>70</v>
      </c>
      <c r="B29" s="12">
        <v>30</v>
      </c>
      <c r="C29" s="12">
        <v>-2</v>
      </c>
      <c r="D29" s="12">
        <v>28</v>
      </c>
    </row>
    <row r="30" spans="1:4" x14ac:dyDescent="0.2">
      <c r="A30">
        <v>75</v>
      </c>
      <c r="B30" s="12">
        <v>35</v>
      </c>
      <c r="C30" s="12">
        <v>-2</v>
      </c>
      <c r="D30" s="12">
        <v>33</v>
      </c>
    </row>
    <row r="31" spans="1:4" x14ac:dyDescent="0.2">
      <c r="A31">
        <v>80</v>
      </c>
      <c r="B31" s="12">
        <v>40</v>
      </c>
      <c r="C31" s="12">
        <v>-2</v>
      </c>
      <c r="D31" s="12">
        <v>38</v>
      </c>
    </row>
    <row r="32" spans="1:4" x14ac:dyDescent="0.2">
      <c r="A32">
        <v>85</v>
      </c>
      <c r="B32" s="12">
        <v>45</v>
      </c>
      <c r="C32" s="12">
        <v>-2</v>
      </c>
      <c r="D32" s="12">
        <v>43</v>
      </c>
    </row>
    <row r="33" spans="1:4" x14ac:dyDescent="0.2">
      <c r="A33">
        <v>90</v>
      </c>
      <c r="B33" s="12">
        <v>50</v>
      </c>
      <c r="C33" s="12">
        <v>-2</v>
      </c>
      <c r="D33" s="12">
        <v>48</v>
      </c>
    </row>
    <row r="34" spans="1:4" x14ac:dyDescent="0.2">
      <c r="A34">
        <v>95</v>
      </c>
      <c r="B34" s="12">
        <v>55</v>
      </c>
      <c r="C34" s="12">
        <v>-2</v>
      </c>
      <c r="D34" s="12">
        <v>53</v>
      </c>
    </row>
    <row r="35" spans="1:4" x14ac:dyDescent="0.2">
      <c r="A35">
        <v>100</v>
      </c>
      <c r="B35" s="12">
        <v>60</v>
      </c>
      <c r="C35" s="12">
        <v>-2</v>
      </c>
      <c r="D35" s="12">
        <v>58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21EBC-015C-9F4C-B0FD-3AC74ED40168}">
  <sheetPr codeName="Sheet4"/>
  <dimension ref="A2:D37"/>
  <sheetViews>
    <sheetView workbookViewId="0">
      <selection activeCell="F11" sqref="F11"/>
    </sheetView>
  </sheetViews>
  <sheetFormatPr baseColWidth="10" defaultColWidth="11.5" defaultRowHeight="15" x14ac:dyDescent="0.2"/>
  <cols>
    <col min="1" max="2" width="19.5" bestFit="1" customWidth="1"/>
    <col min="3" max="3" width="19.1640625" bestFit="1" customWidth="1"/>
    <col min="4" max="4" width="9.5" bestFit="1" customWidth="1"/>
  </cols>
  <sheetData>
    <row r="2" spans="1:4" x14ac:dyDescent="0.2">
      <c r="A2" t="s">
        <v>18</v>
      </c>
      <c r="B2" s="12">
        <v>60</v>
      </c>
    </row>
    <row r="4" spans="1:4" x14ac:dyDescent="0.2">
      <c r="A4" t="s">
        <v>32</v>
      </c>
      <c r="B4" s="12">
        <v>40</v>
      </c>
    </row>
    <row r="5" spans="1:4" x14ac:dyDescent="0.2">
      <c r="A5" t="s">
        <v>33</v>
      </c>
      <c r="B5" s="12">
        <v>4</v>
      </c>
    </row>
    <row r="7" spans="1:4" x14ac:dyDescent="0.2">
      <c r="A7" t="s">
        <v>34</v>
      </c>
      <c r="B7" s="12">
        <v>50</v>
      </c>
    </row>
    <row r="8" spans="1:4" x14ac:dyDescent="0.2">
      <c r="A8" t="s">
        <v>35</v>
      </c>
      <c r="B8" s="12">
        <v>2</v>
      </c>
    </row>
    <row r="10" spans="1:4" x14ac:dyDescent="0.2">
      <c r="A10" t="s">
        <v>36</v>
      </c>
      <c r="B10" s="12">
        <f>MAX(B2-B4,0)-B5</f>
        <v>16</v>
      </c>
    </row>
    <row r="11" spans="1:4" x14ac:dyDescent="0.2">
      <c r="A11" t="s">
        <v>37</v>
      </c>
      <c r="B11" s="12">
        <f>B8-MAX(B2-B7,0)</f>
        <v>-8</v>
      </c>
    </row>
    <row r="12" spans="1:4" x14ac:dyDescent="0.2">
      <c r="A12" t="s">
        <v>38</v>
      </c>
      <c r="B12" s="12">
        <f>B10+B11</f>
        <v>8</v>
      </c>
      <c r="C12" t="s">
        <v>39</v>
      </c>
    </row>
    <row r="15" spans="1:4" x14ac:dyDescent="0.2">
      <c r="B15" t="s">
        <v>36</v>
      </c>
      <c r="C15" t="s">
        <v>37</v>
      </c>
      <c r="D15" t="s">
        <v>38</v>
      </c>
    </row>
    <row r="16" spans="1:4" x14ac:dyDescent="0.2">
      <c r="A16" t="s">
        <v>18</v>
      </c>
      <c r="B16" s="12">
        <f>MAX(B2-B4,0)-B5</f>
        <v>16</v>
      </c>
      <c r="C16" s="12">
        <f>B8-MAX(B2-B7,0)</f>
        <v>-8</v>
      </c>
      <c r="D16" s="13">
        <f>B10+B11</f>
        <v>8</v>
      </c>
    </row>
    <row r="17" spans="1:4" x14ac:dyDescent="0.2">
      <c r="A17">
        <v>0</v>
      </c>
      <c r="B17" s="12">
        <f t="dataTable" ref="B17:D37" dt2D="0" dtr="0" r1="B2"/>
        <v>-4</v>
      </c>
      <c r="C17" s="12">
        <v>2</v>
      </c>
      <c r="D17" s="12">
        <v>-2</v>
      </c>
    </row>
    <row r="18" spans="1:4" x14ac:dyDescent="0.2">
      <c r="A18">
        <v>5</v>
      </c>
      <c r="B18" s="12">
        <v>-4</v>
      </c>
      <c r="C18" s="12">
        <v>2</v>
      </c>
      <c r="D18" s="12">
        <v>-2</v>
      </c>
    </row>
    <row r="19" spans="1:4" x14ac:dyDescent="0.2">
      <c r="A19">
        <v>10</v>
      </c>
      <c r="B19" s="12">
        <v>-4</v>
      </c>
      <c r="C19" s="12">
        <v>2</v>
      </c>
      <c r="D19" s="12">
        <v>-2</v>
      </c>
    </row>
    <row r="20" spans="1:4" x14ac:dyDescent="0.2">
      <c r="A20">
        <v>15</v>
      </c>
      <c r="B20" s="12">
        <v>-4</v>
      </c>
      <c r="C20" s="12">
        <v>2</v>
      </c>
      <c r="D20" s="12">
        <v>-2</v>
      </c>
    </row>
    <row r="21" spans="1:4" x14ac:dyDescent="0.2">
      <c r="A21">
        <v>20</v>
      </c>
      <c r="B21" s="12">
        <v>-4</v>
      </c>
      <c r="C21" s="12">
        <v>2</v>
      </c>
      <c r="D21" s="12">
        <v>-2</v>
      </c>
    </row>
    <row r="22" spans="1:4" x14ac:dyDescent="0.2">
      <c r="A22">
        <v>25</v>
      </c>
      <c r="B22" s="12">
        <v>-4</v>
      </c>
      <c r="C22" s="12">
        <v>2</v>
      </c>
      <c r="D22" s="12">
        <v>-2</v>
      </c>
    </row>
    <row r="23" spans="1:4" x14ac:dyDescent="0.2">
      <c r="A23">
        <v>30</v>
      </c>
      <c r="B23" s="12">
        <v>-4</v>
      </c>
      <c r="C23" s="12">
        <v>2</v>
      </c>
      <c r="D23" s="12">
        <v>-2</v>
      </c>
    </row>
    <row r="24" spans="1:4" x14ac:dyDescent="0.2">
      <c r="A24">
        <v>35</v>
      </c>
      <c r="B24" s="12">
        <v>-4</v>
      </c>
      <c r="C24" s="12">
        <v>2</v>
      </c>
      <c r="D24" s="12">
        <v>-2</v>
      </c>
    </row>
    <row r="25" spans="1:4" x14ac:dyDescent="0.2">
      <c r="A25">
        <v>40</v>
      </c>
      <c r="B25" s="12">
        <v>-4</v>
      </c>
      <c r="C25" s="12">
        <v>2</v>
      </c>
      <c r="D25" s="12">
        <v>-2</v>
      </c>
    </row>
    <row r="26" spans="1:4" x14ac:dyDescent="0.2">
      <c r="A26">
        <v>45</v>
      </c>
      <c r="B26" s="12">
        <v>1</v>
      </c>
      <c r="C26" s="12">
        <v>2</v>
      </c>
      <c r="D26" s="12">
        <v>3</v>
      </c>
    </row>
    <row r="27" spans="1:4" x14ac:dyDescent="0.2">
      <c r="A27">
        <v>50</v>
      </c>
      <c r="B27" s="12">
        <v>6</v>
      </c>
      <c r="C27" s="12">
        <v>2</v>
      </c>
      <c r="D27" s="12">
        <v>8</v>
      </c>
    </row>
    <row r="28" spans="1:4" x14ac:dyDescent="0.2">
      <c r="A28">
        <v>55</v>
      </c>
      <c r="B28" s="12">
        <v>11</v>
      </c>
      <c r="C28" s="12">
        <v>-3</v>
      </c>
      <c r="D28" s="12">
        <v>8</v>
      </c>
    </row>
    <row r="29" spans="1:4" x14ac:dyDescent="0.2">
      <c r="A29">
        <v>60</v>
      </c>
      <c r="B29" s="12">
        <v>16</v>
      </c>
      <c r="C29" s="12">
        <v>-8</v>
      </c>
      <c r="D29" s="12">
        <v>8</v>
      </c>
    </row>
    <row r="30" spans="1:4" x14ac:dyDescent="0.2">
      <c r="A30">
        <v>65</v>
      </c>
      <c r="B30" s="12">
        <v>21</v>
      </c>
      <c r="C30" s="12">
        <v>-13</v>
      </c>
      <c r="D30" s="12">
        <v>8</v>
      </c>
    </row>
    <row r="31" spans="1:4" x14ac:dyDescent="0.2">
      <c r="A31">
        <v>70</v>
      </c>
      <c r="B31" s="12">
        <v>26</v>
      </c>
      <c r="C31" s="12">
        <v>-18</v>
      </c>
      <c r="D31" s="12">
        <v>8</v>
      </c>
    </row>
    <row r="32" spans="1:4" x14ac:dyDescent="0.2">
      <c r="A32">
        <v>75</v>
      </c>
      <c r="B32" s="12">
        <v>31</v>
      </c>
      <c r="C32" s="12">
        <v>-23</v>
      </c>
      <c r="D32" s="12">
        <v>8</v>
      </c>
    </row>
    <row r="33" spans="1:4" x14ac:dyDescent="0.2">
      <c r="A33">
        <v>80</v>
      </c>
      <c r="B33" s="12">
        <v>36</v>
      </c>
      <c r="C33" s="12">
        <v>-28</v>
      </c>
      <c r="D33" s="12">
        <v>8</v>
      </c>
    </row>
    <row r="34" spans="1:4" x14ac:dyDescent="0.2">
      <c r="A34">
        <v>85</v>
      </c>
      <c r="B34" s="12">
        <v>41</v>
      </c>
      <c r="C34" s="12">
        <v>-33</v>
      </c>
      <c r="D34" s="12">
        <v>8</v>
      </c>
    </row>
    <row r="35" spans="1:4" x14ac:dyDescent="0.2">
      <c r="A35">
        <v>90</v>
      </c>
      <c r="B35" s="12">
        <v>46</v>
      </c>
      <c r="C35" s="12">
        <v>-38</v>
      </c>
      <c r="D35" s="12">
        <v>8</v>
      </c>
    </row>
    <row r="36" spans="1:4" x14ac:dyDescent="0.2">
      <c r="A36">
        <v>95</v>
      </c>
      <c r="B36" s="12">
        <v>51</v>
      </c>
      <c r="C36" s="12">
        <v>-43</v>
      </c>
      <c r="D36" s="12">
        <v>8</v>
      </c>
    </row>
    <row r="37" spans="1:4" x14ac:dyDescent="0.2">
      <c r="A37">
        <v>100</v>
      </c>
      <c r="B37" s="12">
        <v>56</v>
      </c>
      <c r="C37" s="12">
        <v>-48</v>
      </c>
      <c r="D37" s="12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31892-B08D-344F-A844-A0BC69F36227}">
  <sheetPr codeName="Sheet5"/>
  <dimension ref="A2:D41"/>
  <sheetViews>
    <sheetView topLeftCell="A4" workbookViewId="0">
      <selection activeCell="H33" sqref="H33"/>
    </sheetView>
  </sheetViews>
  <sheetFormatPr baseColWidth="10" defaultColWidth="11.5" defaultRowHeight="15" x14ac:dyDescent="0.2"/>
  <cols>
    <col min="1" max="1" width="18" bestFit="1" customWidth="1"/>
    <col min="3" max="3" width="18.6640625" bestFit="1" customWidth="1"/>
  </cols>
  <sheetData>
    <row r="2" spans="1:4" x14ac:dyDescent="0.2">
      <c r="A2" t="s">
        <v>40</v>
      </c>
      <c r="B2" s="12">
        <v>50</v>
      </c>
    </row>
    <row r="3" spans="1:4" x14ac:dyDescent="0.2">
      <c r="A3" t="s">
        <v>41</v>
      </c>
      <c r="B3" s="12">
        <v>45</v>
      </c>
    </row>
    <row r="4" spans="1:4" x14ac:dyDescent="0.2">
      <c r="A4" t="s">
        <v>42</v>
      </c>
      <c r="B4" s="14">
        <v>0.04</v>
      </c>
    </row>
    <row r="5" spans="1:4" x14ac:dyDescent="0.2">
      <c r="A5" t="s">
        <v>43</v>
      </c>
      <c r="B5">
        <v>0.75</v>
      </c>
    </row>
    <row r="6" spans="1:4" x14ac:dyDescent="0.2">
      <c r="A6" t="s">
        <v>44</v>
      </c>
      <c r="B6" s="14">
        <v>0.3</v>
      </c>
    </row>
    <row r="9" spans="1:4" x14ac:dyDescent="0.2">
      <c r="A9" t="s">
        <v>45</v>
      </c>
      <c r="B9">
        <f>(LN(B2/B3)+(B4+B6^2/2)*B5)/(B6*SQRT(B5))</f>
        <v>0.65090667825228321</v>
      </c>
    </row>
    <row r="10" spans="1:4" x14ac:dyDescent="0.2">
      <c r="A10" t="s">
        <v>46</v>
      </c>
      <c r="B10">
        <f>B9-B6*SQRT(B5)</f>
        <v>0.39109905711695164</v>
      </c>
    </row>
    <row r="12" spans="1:4" x14ac:dyDescent="0.2">
      <c r="A12" t="s">
        <v>47</v>
      </c>
      <c r="B12">
        <f>NORMSDIST(B9)</f>
        <v>0.74244663489664375</v>
      </c>
    </row>
    <row r="13" spans="1:4" x14ac:dyDescent="0.2">
      <c r="A13" t="s">
        <v>48</v>
      </c>
      <c r="B13">
        <f>NORMSDIST(B10)</f>
        <v>0.65213799122144234</v>
      </c>
    </row>
    <row r="15" spans="1:4" x14ac:dyDescent="0.2">
      <c r="A15" t="s">
        <v>49</v>
      </c>
      <c r="B15" s="13">
        <f>B2*B12-B3*EXP(-B4*B5)*B13</f>
        <v>8.6434337071156619</v>
      </c>
    </row>
    <row r="16" spans="1:4" x14ac:dyDescent="0.2">
      <c r="A16" t="s">
        <v>50</v>
      </c>
      <c r="B16" s="13">
        <f>B15+B3*EXP(-B4*B5)-B2</f>
        <v>2.3134827167985321</v>
      </c>
      <c r="D16" t="s">
        <v>51</v>
      </c>
    </row>
    <row r="17" spans="1:4" x14ac:dyDescent="0.2">
      <c r="D17" t="s">
        <v>52</v>
      </c>
    </row>
    <row r="20" spans="1:4" x14ac:dyDescent="0.2">
      <c r="B20" t="s">
        <v>49</v>
      </c>
      <c r="C20" t="s">
        <v>53</v>
      </c>
    </row>
    <row r="21" spans="1:4" x14ac:dyDescent="0.2">
      <c r="A21" t="s">
        <v>54</v>
      </c>
      <c r="B21" s="13">
        <f>B15</f>
        <v>8.6434337071156619</v>
      </c>
      <c r="C21" s="13">
        <f>MAX(B2-B3,0)</f>
        <v>5</v>
      </c>
    </row>
    <row r="22" spans="1:4" x14ac:dyDescent="0.2">
      <c r="A22">
        <v>5</v>
      </c>
      <c r="B22" s="12">
        <f t="dataTable" ref="B22:C41" dt2D="0" dtr="0" r1="B2"/>
        <v>1.6271103795261353E-17</v>
      </c>
      <c r="C22" s="12">
        <v>0</v>
      </c>
    </row>
    <row r="23" spans="1:4" x14ac:dyDescent="0.2">
      <c r="A23">
        <v>10</v>
      </c>
      <c r="B23" s="12">
        <v>6.2724512246643584E-9</v>
      </c>
      <c r="C23" s="12">
        <v>0</v>
      </c>
    </row>
    <row r="24" spans="1:4" x14ac:dyDescent="0.2">
      <c r="A24">
        <v>15</v>
      </c>
      <c r="B24" s="12">
        <v>2.8392918447725339E-5</v>
      </c>
      <c r="C24" s="12">
        <v>0</v>
      </c>
    </row>
    <row r="25" spans="1:4" x14ac:dyDescent="0.2">
      <c r="A25">
        <v>20</v>
      </c>
      <c r="B25" s="12">
        <v>2.8537602395158762E-3</v>
      </c>
      <c r="C25" s="12">
        <v>0</v>
      </c>
    </row>
    <row r="26" spans="1:4" x14ac:dyDescent="0.2">
      <c r="A26">
        <v>25</v>
      </c>
      <c r="B26" s="12">
        <v>4.8405224028071792E-2</v>
      </c>
      <c r="C26" s="12">
        <v>0</v>
      </c>
    </row>
    <row r="27" spans="1:4" x14ac:dyDescent="0.2">
      <c r="A27">
        <v>30</v>
      </c>
      <c r="B27" s="12">
        <v>0.31005154938344548</v>
      </c>
      <c r="C27" s="12">
        <v>0</v>
      </c>
    </row>
    <row r="28" spans="1:4" x14ac:dyDescent="0.2">
      <c r="A28">
        <v>35</v>
      </c>
      <c r="B28" s="12">
        <v>1.1076855598914648</v>
      </c>
      <c r="C28" s="12">
        <v>0</v>
      </c>
    </row>
    <row r="29" spans="1:4" x14ac:dyDescent="0.2">
      <c r="A29">
        <v>40</v>
      </c>
      <c r="B29" s="12">
        <v>2.7318630834502908</v>
      </c>
      <c r="C29" s="12">
        <v>0</v>
      </c>
    </row>
    <row r="30" spans="1:4" x14ac:dyDescent="0.2">
      <c r="A30">
        <v>45</v>
      </c>
      <c r="B30" s="12">
        <v>5.2776725210471618</v>
      </c>
      <c r="C30" s="12">
        <v>0</v>
      </c>
    </row>
    <row r="31" spans="1:4" x14ac:dyDescent="0.2">
      <c r="A31">
        <v>50</v>
      </c>
      <c r="B31" s="12">
        <v>8.6434337071156619</v>
      </c>
      <c r="C31" s="12">
        <v>5</v>
      </c>
    </row>
    <row r="32" spans="1:4" x14ac:dyDescent="0.2">
      <c r="A32">
        <v>55</v>
      </c>
      <c r="B32" s="12">
        <v>12.6307309804506</v>
      </c>
      <c r="C32" s="12">
        <v>10</v>
      </c>
    </row>
    <row r="33" spans="1:3" x14ac:dyDescent="0.2">
      <c r="A33">
        <v>60</v>
      </c>
      <c r="B33" s="12">
        <v>17.037833435617188</v>
      </c>
      <c r="C33" s="12">
        <v>15</v>
      </c>
    </row>
    <row r="34" spans="1:3" x14ac:dyDescent="0.2">
      <c r="A34">
        <v>65</v>
      </c>
      <c r="B34" s="12">
        <v>21.705621303373071</v>
      </c>
      <c r="C34" s="12">
        <v>20</v>
      </c>
    </row>
    <row r="35" spans="1:3" x14ac:dyDescent="0.2">
      <c r="A35">
        <v>70</v>
      </c>
      <c r="B35" s="12">
        <v>26.525589687810623</v>
      </c>
      <c r="C35" s="12">
        <v>25</v>
      </c>
    </row>
    <row r="36" spans="1:3" x14ac:dyDescent="0.2">
      <c r="A36">
        <v>75</v>
      </c>
      <c r="B36" s="12">
        <v>31.430439448391141</v>
      </c>
      <c r="C36" s="12">
        <v>30</v>
      </c>
    </row>
    <row r="37" spans="1:3" x14ac:dyDescent="0.2">
      <c r="A37">
        <v>80</v>
      </c>
      <c r="B37" s="12">
        <v>36.381069196126973</v>
      </c>
      <c r="C37" s="12">
        <v>35</v>
      </c>
    </row>
    <row r="38" spans="1:3" x14ac:dyDescent="0.2">
      <c r="A38">
        <v>85</v>
      </c>
      <c r="B38" s="12">
        <v>41.355789404586439</v>
      </c>
      <c r="C38" s="12">
        <v>40</v>
      </c>
    </row>
    <row r="39" spans="1:3" x14ac:dyDescent="0.2">
      <c r="A39">
        <v>90</v>
      </c>
      <c r="B39" s="12">
        <v>46.342962710371559</v>
      </c>
      <c r="C39" s="12">
        <v>45</v>
      </c>
    </row>
    <row r="40" spans="1:3" x14ac:dyDescent="0.2">
      <c r="A40">
        <v>95</v>
      </c>
      <c r="B40" s="12">
        <v>51.336492839898362</v>
      </c>
      <c r="C40" s="12">
        <v>50</v>
      </c>
    </row>
    <row r="41" spans="1:3" x14ac:dyDescent="0.2">
      <c r="A41">
        <v>100</v>
      </c>
      <c r="B41" s="12">
        <v>56.333240246824879</v>
      </c>
      <c r="C41" s="12">
        <v>55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D3165-A9DE-9D4F-AE68-6EFD6C62E52D}">
  <sheetPr codeName="Sheet6"/>
  <dimension ref="A1:I33"/>
  <sheetViews>
    <sheetView workbookViewId="0">
      <selection activeCell="A8" sqref="A8:B9"/>
    </sheetView>
  </sheetViews>
  <sheetFormatPr baseColWidth="10" defaultColWidth="11.5" defaultRowHeight="15" x14ac:dyDescent="0.2"/>
  <cols>
    <col min="1" max="1" width="13.33203125" customWidth="1"/>
    <col min="9" max="9" width="15.33203125" bestFit="1" customWidth="1"/>
  </cols>
  <sheetData>
    <row r="1" spans="1:9" x14ac:dyDescent="0.2">
      <c r="A1" t="s">
        <v>55</v>
      </c>
      <c r="B1" s="12">
        <v>50</v>
      </c>
      <c r="I1" t="s">
        <v>56</v>
      </c>
    </row>
    <row r="2" spans="1:9" x14ac:dyDescent="0.2">
      <c r="A2" t="s">
        <v>57</v>
      </c>
      <c r="B2" s="12">
        <v>45</v>
      </c>
      <c r="I2" s="12">
        <v>7.6</v>
      </c>
    </row>
    <row r="3" spans="1:9" x14ac:dyDescent="0.2">
      <c r="A3" t="s">
        <v>58</v>
      </c>
      <c r="B3" s="14">
        <v>0.04</v>
      </c>
      <c r="I3" t="s">
        <v>59</v>
      </c>
    </row>
    <row r="4" spans="1:9" x14ac:dyDescent="0.2">
      <c r="A4" t="s">
        <v>60</v>
      </c>
      <c r="B4" s="14">
        <v>0.02</v>
      </c>
      <c r="I4" s="15" cm="1">
        <f t="array" ref="I4">ImpliedVol(1,B1,B2,B3,B4,B5,I2)</f>
        <v>0.27000000000000007</v>
      </c>
    </row>
    <row r="5" spans="1:9" x14ac:dyDescent="0.2">
      <c r="A5" t="s">
        <v>43</v>
      </c>
      <c r="B5">
        <v>0.75</v>
      </c>
    </row>
    <row r="6" spans="1:9" x14ac:dyDescent="0.2">
      <c r="A6" t="s">
        <v>61</v>
      </c>
      <c r="B6" s="14">
        <v>0.3</v>
      </c>
    </row>
    <row r="8" spans="1:9" x14ac:dyDescent="0.2">
      <c r="A8" t="s">
        <v>22</v>
      </c>
      <c r="B8" s="12" cm="1">
        <f t="array" ref="B8">BSMOptPrice(1,B1,B2,B3,B4,B5,B6)</f>
        <v>8.0977585519449988</v>
      </c>
    </row>
    <row r="9" spans="1:9" x14ac:dyDescent="0.2">
      <c r="A9" t="s">
        <v>26</v>
      </c>
      <c r="B9" s="12" cm="1">
        <f t="array" ref="B9">BSMOptPrice(-1,B1,B2,B3,B4,B5,B6)</f>
        <v>2.51221058147474</v>
      </c>
    </row>
    <row r="12" spans="1:9" x14ac:dyDescent="0.2">
      <c r="B12" t="s">
        <v>22</v>
      </c>
      <c r="C12" t="s">
        <v>26</v>
      </c>
    </row>
    <row r="13" spans="1:9" x14ac:dyDescent="0.2">
      <c r="A13" t="s">
        <v>62</v>
      </c>
      <c r="B13" s="13">
        <f>B8</f>
        <v>8.0977585519449988</v>
      </c>
      <c r="C13" s="13">
        <f>B9</f>
        <v>2.51221058147474</v>
      </c>
    </row>
    <row r="14" spans="1:9" x14ac:dyDescent="0.2">
      <c r="A14">
        <v>5</v>
      </c>
      <c r="B14" s="12">
        <f t="dataTable" ref="B14:C33" dt2D="0" dtr="0" r1="B1"/>
        <v>9.8292212154202784E-18</v>
      </c>
      <c r="C14" s="12">
        <v>38.744489311667557</v>
      </c>
    </row>
    <row r="15" spans="1:9" x14ac:dyDescent="0.2">
      <c r="A15">
        <v>10</v>
      </c>
      <c r="B15" s="12">
        <v>4.3961414837898463E-9</v>
      </c>
      <c r="C15" s="12">
        <v>33.818929618048386</v>
      </c>
    </row>
    <row r="16" spans="1:9" x14ac:dyDescent="0.2">
      <c r="A16">
        <v>15</v>
      </c>
      <c r="B16" s="12">
        <v>2.1653845011285991E-5</v>
      </c>
      <c r="C16" s="12">
        <v>28.893391569481945</v>
      </c>
    </row>
    <row r="17" spans="1:3" x14ac:dyDescent="0.2">
      <c r="A17">
        <v>20</v>
      </c>
      <c r="B17" s="12">
        <v>2.3057501828009121E-3</v>
      </c>
      <c r="C17" s="12">
        <v>23.970115967804418</v>
      </c>
    </row>
    <row r="18" spans="1:3" x14ac:dyDescent="0.2">
      <c r="A18">
        <v>25</v>
      </c>
      <c r="B18" s="12">
        <v>4.0811811040176948E-2</v>
      </c>
      <c r="C18" s="12">
        <v>19.083062330646484</v>
      </c>
    </row>
    <row r="19" spans="1:3" x14ac:dyDescent="0.2">
      <c r="A19">
        <v>30</v>
      </c>
      <c r="B19" s="12">
        <v>0.27007930051533613</v>
      </c>
      <c r="C19" s="12">
        <v>14.386770122106327</v>
      </c>
    </row>
    <row r="20" spans="1:3" x14ac:dyDescent="0.2">
      <c r="A20">
        <v>35</v>
      </c>
      <c r="B20" s="12">
        <v>0.9896924502563218</v>
      </c>
      <c r="C20" s="12">
        <v>10.180823573832004</v>
      </c>
    </row>
    <row r="21" spans="1:3" x14ac:dyDescent="0.2">
      <c r="A21">
        <v>40</v>
      </c>
      <c r="B21" s="12">
        <v>2.4898243636956288</v>
      </c>
      <c r="C21" s="12">
        <v>6.7553957892559993</v>
      </c>
    </row>
    <row r="22" spans="1:3" x14ac:dyDescent="0.2">
      <c r="A22">
        <v>45</v>
      </c>
      <c r="B22" s="12">
        <v>4.8852620469068775</v>
      </c>
      <c r="C22" s="12">
        <v>4.2252737744519351</v>
      </c>
    </row>
    <row r="23" spans="1:3" x14ac:dyDescent="0.2">
      <c r="A23">
        <v>50</v>
      </c>
      <c r="B23" s="12">
        <v>8.0977585519449988</v>
      </c>
      <c r="C23" s="12">
        <v>2.51221058147474</v>
      </c>
    </row>
    <row r="24" spans="1:3" x14ac:dyDescent="0.2">
      <c r="A24">
        <v>55</v>
      </c>
      <c r="B24" s="12">
        <v>11.944028386261408</v>
      </c>
      <c r="C24" s="12">
        <v>1.4329207177758381</v>
      </c>
    </row>
    <row r="25" spans="1:3" x14ac:dyDescent="0.2">
      <c r="A25">
        <v>60</v>
      </c>
      <c r="B25" s="12">
        <v>16.227450186897897</v>
      </c>
      <c r="C25" s="12">
        <v>0.79078282039700376</v>
      </c>
    </row>
    <row r="26" spans="1:3" x14ac:dyDescent="0.2">
      <c r="A26">
        <v>65</v>
      </c>
      <c r="B26" s="12">
        <v>20.787608088251091</v>
      </c>
      <c r="C26" s="12">
        <v>0.42538102373488496</v>
      </c>
    </row>
    <row r="27" spans="1:3" x14ac:dyDescent="0.2">
      <c r="A27">
        <v>70</v>
      </c>
      <c r="B27" s="12">
        <v>25.512213767824335</v>
      </c>
      <c r="C27" s="12">
        <v>0.22442700529281634</v>
      </c>
    </row>
    <row r="28" spans="1:3" x14ac:dyDescent="0.2">
      <c r="A28">
        <v>75</v>
      </c>
      <c r="B28" s="12">
        <v>30.33006854378268</v>
      </c>
      <c r="C28" s="12">
        <v>0.11672208323585864</v>
      </c>
    </row>
    <row r="29" spans="1:3" x14ac:dyDescent="0.2">
      <c r="A29">
        <v>80</v>
      </c>
      <c r="B29" s="12">
        <v>35.198995764361271</v>
      </c>
      <c r="C29" s="12">
        <v>6.0089605799140355E-2</v>
      </c>
    </row>
    <row r="30" spans="1:3" x14ac:dyDescent="0.2">
      <c r="A30">
        <v>85</v>
      </c>
      <c r="B30" s="12">
        <v>40.095188260313599</v>
      </c>
      <c r="C30" s="12">
        <v>3.0722403736131776E-2</v>
      </c>
    </row>
    <row r="31" spans="1:3" x14ac:dyDescent="0.2">
      <c r="A31">
        <v>90</v>
      </c>
      <c r="B31" s="12">
        <v>45.005667083658309</v>
      </c>
      <c r="C31" s="12">
        <v>1.5641529065541504E-2</v>
      </c>
    </row>
    <row r="32" spans="1:3" x14ac:dyDescent="0.2">
      <c r="A32">
        <v>95</v>
      </c>
      <c r="B32" s="12">
        <v>49.923532226437196</v>
      </c>
      <c r="C32" s="12">
        <v>7.9469738291060438E-3</v>
      </c>
    </row>
    <row r="33" spans="1:3" x14ac:dyDescent="0.2">
      <c r="A33">
        <v>100</v>
      </c>
      <c r="B33" s="12">
        <v>54.845181120900762</v>
      </c>
      <c r="C33" s="12">
        <v>4.03617027737109E-3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3BE4E-C527-B540-B988-4B457E8D4752}">
  <sheetPr codeName="Sheet7"/>
  <dimension ref="A1:U64"/>
  <sheetViews>
    <sheetView topLeftCell="H3" workbookViewId="0">
      <selection activeCell="Z24" sqref="Z24"/>
    </sheetView>
  </sheetViews>
  <sheetFormatPr baseColWidth="10" defaultColWidth="11.5" defaultRowHeight="15" x14ac:dyDescent="0.2"/>
  <cols>
    <col min="1" max="1" width="15" bestFit="1" customWidth="1"/>
    <col min="7" max="7" width="26.83203125" bestFit="1" customWidth="1"/>
    <col min="18" max="18" width="17.6640625" bestFit="1" customWidth="1"/>
    <col min="19" max="19" width="12.1640625" bestFit="1" customWidth="1"/>
  </cols>
  <sheetData>
    <row r="1" spans="1:20" x14ac:dyDescent="0.2">
      <c r="A1" t="s">
        <v>55</v>
      </c>
      <c r="B1" s="12">
        <v>50</v>
      </c>
      <c r="H1" t="s">
        <v>63</v>
      </c>
      <c r="I1" t="s">
        <v>64</v>
      </c>
      <c r="S1" t="s">
        <v>65</v>
      </c>
      <c r="T1" t="s">
        <v>66</v>
      </c>
    </row>
    <row r="2" spans="1:20" x14ac:dyDescent="0.2">
      <c r="A2" t="s">
        <v>57</v>
      </c>
      <c r="B2" s="12">
        <v>45</v>
      </c>
      <c r="G2" t="s">
        <v>67</v>
      </c>
      <c r="H2" s="17">
        <f>B15</f>
        <v>-3.2432356355284107</v>
      </c>
      <c r="I2" s="17">
        <f>C15</f>
        <v>-2.4815456147441584</v>
      </c>
      <c r="R2" t="s">
        <v>68</v>
      </c>
      <c r="S2" s="17">
        <f>B12</f>
        <v>0.70208518172268186</v>
      </c>
      <c r="T2" s="17">
        <f>C12</f>
        <v>-0.26836035182582629</v>
      </c>
    </row>
    <row r="3" spans="1:20" x14ac:dyDescent="0.2">
      <c r="A3" t="s">
        <v>58</v>
      </c>
      <c r="B3" s="14">
        <v>0.04</v>
      </c>
      <c r="G3">
        <v>5</v>
      </c>
      <c r="H3" s="16">
        <f t="dataTable" ref="H3:I18" dt2D="0" dtr="0" r1="B1" ca="1"/>
        <v>-4.8757751408488297E-16</v>
      </c>
      <c r="I3" s="16">
        <v>1.6482907664270079</v>
      </c>
      <c r="R3">
        <v>5</v>
      </c>
      <c r="S3" s="16" t="e">
        <f t="dataTable" ref="S3:T18" dt2D="0" dtr="0" r1="B1" ca="1"/>
        <v>#NAME?</v>
      </c>
      <c r="T3" s="16" t="e">
        <v>#NAME?</v>
      </c>
    </row>
    <row r="4" spans="1:20" x14ac:dyDescent="0.2">
      <c r="A4" t="s">
        <v>60</v>
      </c>
      <c r="B4" s="14">
        <v>0.02</v>
      </c>
      <c r="G4">
        <v>10</v>
      </c>
      <c r="H4" s="16">
        <v>-1.0649231218158199E-7</v>
      </c>
      <c r="I4" s="16">
        <v>1.54977946597439</v>
      </c>
      <c r="R4">
        <v>10</v>
      </c>
      <c r="S4" s="16" t="e">
        <v>#NAME?</v>
      </c>
      <c r="T4" s="16" t="e">
        <v>#NAME?</v>
      </c>
    </row>
    <row r="5" spans="1:20" x14ac:dyDescent="0.2">
      <c r="A5" t="s">
        <v>43</v>
      </c>
      <c r="B5">
        <v>0.75</v>
      </c>
      <c r="G5">
        <v>20</v>
      </c>
      <c r="H5" s="16">
        <v>-1.8982893102684504E-2</v>
      </c>
      <c r="I5" s="16">
        <v>1.333774291443405</v>
      </c>
      <c r="R5">
        <v>20</v>
      </c>
      <c r="S5" s="16" t="e">
        <v>#NAME?</v>
      </c>
      <c r="T5" s="16" t="e">
        <v>#NAME?</v>
      </c>
    </row>
    <row r="6" spans="1:20" x14ac:dyDescent="0.2">
      <c r="A6" t="s">
        <v>61</v>
      </c>
      <c r="B6" s="14">
        <v>0.3</v>
      </c>
      <c r="G6">
        <v>30</v>
      </c>
      <c r="H6" s="16">
        <v>-0.83502678012139708</v>
      </c>
      <c r="I6" s="16">
        <v>0.32070801650407987</v>
      </c>
      <c r="R6">
        <v>30</v>
      </c>
      <c r="S6" s="16" t="e">
        <v>#NAME?</v>
      </c>
      <c r="T6" s="16" t="e">
        <v>#NAME?</v>
      </c>
    </row>
    <row r="7" spans="1:20" x14ac:dyDescent="0.2">
      <c r="G7">
        <v>40</v>
      </c>
      <c r="H7" s="16">
        <v>-2.8402490248043928</v>
      </c>
      <c r="I7" s="16">
        <v>-1.8815366160995284</v>
      </c>
      <c r="R7">
        <v>40</v>
      </c>
      <c r="S7" s="16" t="e">
        <v>#NAME?</v>
      </c>
      <c r="T7" s="16" t="e">
        <v>#NAME?</v>
      </c>
    </row>
    <row r="8" spans="1:20" x14ac:dyDescent="0.2">
      <c r="A8" t="s">
        <v>22</v>
      </c>
      <c r="B8" s="12" cm="1">
        <f t="array" ref="B8">BSMOptPrice(1,B1,B2,B3,B4,B5,B6)</f>
        <v>8.0977585519449988</v>
      </c>
      <c r="G8">
        <v>50</v>
      </c>
      <c r="H8" s="16">
        <v>-3.2432356355284107</v>
      </c>
      <c r="I8" s="16">
        <v>-2.4815456147441584</v>
      </c>
      <c r="R8">
        <v>50</v>
      </c>
      <c r="S8" s="16" t="e">
        <v>#NAME?</v>
      </c>
      <c r="T8" s="16" t="e">
        <v>#NAME?</v>
      </c>
    </row>
    <row r="9" spans="1:20" x14ac:dyDescent="0.2">
      <c r="A9" t="s">
        <v>26</v>
      </c>
      <c r="B9" s="12" cm="1">
        <f t="array" ref="B9">BSMOptPrice(-1,B1,B2,B3,B4,B5,B6)</f>
        <v>2.51221058147474</v>
      </c>
      <c r="G9">
        <v>60</v>
      </c>
      <c r="H9" s="16">
        <v>-2.183558611123892</v>
      </c>
      <c r="I9" s="16">
        <v>-1.6188909782602525</v>
      </c>
      <c r="R9">
        <v>60</v>
      </c>
      <c r="S9" s="16" t="e">
        <v>#NAME?</v>
      </c>
      <c r="T9" s="16" t="e">
        <v>#NAME?</v>
      </c>
    </row>
    <row r="10" spans="1:20" x14ac:dyDescent="0.2">
      <c r="G10">
        <v>70</v>
      </c>
      <c r="H10" s="16">
        <v>-1.1193257102608802</v>
      </c>
      <c r="I10" s="16">
        <v>-0.7516804653178536</v>
      </c>
      <c r="R10">
        <v>70</v>
      </c>
      <c r="S10" s="16" t="e">
        <v>#NAME?</v>
      </c>
      <c r="T10" s="16" t="e">
        <v>#NAME?</v>
      </c>
    </row>
    <row r="11" spans="1:20" x14ac:dyDescent="0.2">
      <c r="A11" t="s">
        <v>69</v>
      </c>
      <c r="B11" t="s">
        <v>70</v>
      </c>
      <c r="C11" t="s">
        <v>71</v>
      </c>
      <c r="G11">
        <v>80</v>
      </c>
      <c r="H11" s="16">
        <v>-0.45944181340100965</v>
      </c>
      <c r="I11" s="16">
        <v>-0.2888189563785955</v>
      </c>
      <c r="R11">
        <v>80</v>
      </c>
      <c r="S11" s="16" t="e">
        <v>#NAME?</v>
      </c>
      <c r="T11" s="16" t="e">
        <v>#NAME?</v>
      </c>
    </row>
    <row r="12" spans="1:20" x14ac:dyDescent="0.2">
      <c r="A12" t="s">
        <v>72</v>
      </c>
      <c r="B12" s="16" cm="1">
        <f t="array" ref="B12">DeltaC(B1,B2,B3,B4,B5,B6)</f>
        <v>0.70208518172268186</v>
      </c>
      <c r="C12" s="16" cm="1">
        <f t="array" ref="C12">deltap(B1,B2,B3,B4,B5,B6)</f>
        <v>-0.26836035182582629</v>
      </c>
      <c r="G12">
        <v>90</v>
      </c>
      <c r="H12" s="16">
        <v>-7.3044825043787398E-2</v>
      </c>
      <c r="I12" s="16">
        <v>-9.9444355941985807E-2</v>
      </c>
      <c r="R12">
        <v>90</v>
      </c>
      <c r="S12" s="16" t="e">
        <v>#NAME?</v>
      </c>
      <c r="T12" s="16" t="e">
        <v>#NAME?</v>
      </c>
    </row>
    <row r="13" spans="1:20" x14ac:dyDescent="0.2">
      <c r="A13" t="s">
        <v>73</v>
      </c>
      <c r="B13" s="16" cm="1">
        <f t="array" ref="B13">BSMGamma(B1,B2,B3,B4,B5,B6)</f>
        <v>2.5372890108145918E-2</v>
      </c>
      <c r="C13" s="16"/>
      <c r="G13">
        <v>100</v>
      </c>
      <c r="H13" s="16">
        <v>0.19128410463204926</v>
      </c>
      <c r="I13" s="16">
        <v>-3.2137814186761482E-2</v>
      </c>
      <c r="R13">
        <v>100</v>
      </c>
      <c r="S13" s="16" t="e">
        <v>#NAME?</v>
      </c>
      <c r="T13" s="16" t="e">
        <v>#NAME?</v>
      </c>
    </row>
    <row r="14" spans="1:20" x14ac:dyDescent="0.2">
      <c r="A14" t="s">
        <v>74</v>
      </c>
      <c r="B14" s="16" cm="1">
        <f t="array" ref="B14">vega(B1,B2,B3,B4,B5,B6)</f>
        <v>14.272250685832075</v>
      </c>
      <c r="C14" s="16"/>
      <c r="G14">
        <v>110</v>
      </c>
      <c r="H14" s="16">
        <v>0.41041421479872064</v>
      </c>
      <c r="I14" s="16">
        <v>-1.0030091940702254E-2</v>
      </c>
      <c r="R14">
        <v>110</v>
      </c>
      <c r="S14" s="16" t="e">
        <v>#NAME?</v>
      </c>
      <c r="T14" s="16" t="e">
        <v>#NAME?</v>
      </c>
    </row>
    <row r="15" spans="1:20" x14ac:dyDescent="0.2">
      <c r="A15" t="s">
        <v>75</v>
      </c>
      <c r="B15" s="16" cm="1">
        <f t="array" ref="B15">thetac(B1,B2,B3,B4,B5,B6)</f>
        <v>-3.2432356355284107</v>
      </c>
      <c r="C15" s="16" cm="1">
        <f t="array" ref="C15">thetap(B1,B2,B3,B4,B5,B6)</f>
        <v>-2.4815456147441584</v>
      </c>
      <c r="G15">
        <v>120</v>
      </c>
      <c r="H15" s="16">
        <v>0.61438822786910352</v>
      </c>
      <c r="I15" s="16">
        <v>-3.0784667909323944E-3</v>
      </c>
      <c r="R15">
        <v>120</v>
      </c>
      <c r="S15" s="16" t="e">
        <v>#NAME?</v>
      </c>
      <c r="T15" s="16" t="e">
        <v>#NAME?</v>
      </c>
    </row>
    <row r="16" spans="1:20" x14ac:dyDescent="0.2">
      <c r="A16" t="s">
        <v>76</v>
      </c>
      <c r="B16" s="16" cm="1">
        <f t="array" ref="B16">rho(1,B1,B2,B3,B4,B5,B6)</f>
        <v>20.652775102533582</v>
      </c>
      <c r="C16" s="16" cm="1">
        <f t="array" ref="C16">rho(-1,B1,B2,B3,B4,B5,B6)</f>
        <v>-12.099761654728569</v>
      </c>
      <c r="G16">
        <v>130</v>
      </c>
      <c r="H16" s="16">
        <v>0.81354879336269748</v>
      </c>
      <c r="I16" s="16">
        <v>-9.4028921795078944E-4</v>
      </c>
      <c r="R16">
        <v>130</v>
      </c>
      <c r="S16" s="16" t="e">
        <v>#NAME?</v>
      </c>
      <c r="T16" s="16" t="e">
        <v>#NAME?</v>
      </c>
    </row>
    <row r="17" spans="7:21" x14ac:dyDescent="0.2">
      <c r="G17">
        <v>140</v>
      </c>
      <c r="H17" s="16">
        <v>1.0112233923476066</v>
      </c>
      <c r="I17" s="16">
        <v>-2.8807815365501454E-4</v>
      </c>
      <c r="R17">
        <v>140</v>
      </c>
      <c r="S17" s="16" t="e">
        <v>#NAME?</v>
      </c>
      <c r="T17" s="16" t="e">
        <v>#NAME?</v>
      </c>
    </row>
    <row r="18" spans="7:21" x14ac:dyDescent="0.2">
      <c r="G18">
        <v>150</v>
      </c>
      <c r="H18" s="16">
        <v>1.2084448617805579</v>
      </c>
      <c r="I18" s="16">
        <v>-8.8996641315486217E-5</v>
      </c>
      <c r="R18">
        <v>150</v>
      </c>
      <c r="S18" s="16" t="e">
        <v>#NAME?</v>
      </c>
      <c r="T18" s="16" t="e">
        <v>#NAME?</v>
      </c>
    </row>
    <row r="26" spans="7:21" x14ac:dyDescent="0.2">
      <c r="G26" t="s">
        <v>77</v>
      </c>
      <c r="H26" t="s">
        <v>78</v>
      </c>
      <c r="I26" t="s">
        <v>79</v>
      </c>
      <c r="J26" t="s">
        <v>80</v>
      </c>
      <c r="R26" t="s">
        <v>81</v>
      </c>
      <c r="S26" t="s">
        <v>78</v>
      </c>
      <c r="T26" t="s">
        <v>79</v>
      </c>
      <c r="U26" t="s">
        <v>80</v>
      </c>
    </row>
    <row r="27" spans="7:21" x14ac:dyDescent="0.2">
      <c r="G27" s="17">
        <f>B15</f>
        <v>-3.2432356355284107</v>
      </c>
      <c r="H27" s="12">
        <v>40</v>
      </c>
      <c r="I27" s="12">
        <v>50</v>
      </c>
      <c r="J27" s="12">
        <v>60</v>
      </c>
      <c r="R27" s="17">
        <f>B12</f>
        <v>0.70208518172268186</v>
      </c>
      <c r="S27" s="12">
        <v>40</v>
      </c>
      <c r="T27" s="12">
        <v>50</v>
      </c>
      <c r="U27" s="12">
        <v>60</v>
      </c>
    </row>
    <row r="28" spans="7:21" x14ac:dyDescent="0.2">
      <c r="G28">
        <v>0.1</v>
      </c>
      <c r="H28" s="16">
        <f t="dataTable" ref="H28:J64" dt2D="1" dtr="1" r1="B2" r2="B5" ca="1"/>
        <v>-1.0917090049784686</v>
      </c>
      <c r="I28" s="16">
        <v>-9.8695132493461433</v>
      </c>
      <c r="J28" s="16">
        <v>-1.7248637082645815</v>
      </c>
      <c r="R28">
        <v>0.1</v>
      </c>
      <c r="S28" s="16">
        <f t="dataTable" ref="S28:U64" dt2D="1" dtr="1" r1="B2" r2="B5"/>
        <v>0.9882926383220928</v>
      </c>
      <c r="T28" s="16">
        <v>0.5252075270563149</v>
      </c>
      <c r="U28" s="16">
        <v>3.1790696885182115E-2</v>
      </c>
    </row>
    <row r="29" spans="7:21" x14ac:dyDescent="0.2">
      <c r="G29">
        <v>0.125</v>
      </c>
      <c r="H29" s="16">
        <v>-1.3623489688590733</v>
      </c>
      <c r="I29" s="16">
        <v>-8.8594006911215128</v>
      </c>
      <c r="J29" s="16">
        <v>-2.2372632296499364</v>
      </c>
      <c r="R29">
        <v>0.125</v>
      </c>
      <c r="S29" s="16">
        <v>0.9804722211334147</v>
      </c>
      <c r="T29" s="16">
        <v>0.52788437572749503</v>
      </c>
      <c r="U29" s="16">
        <v>5.0009017755856276E-2</v>
      </c>
    </row>
    <row r="30" spans="7:21" x14ac:dyDescent="0.2">
      <c r="G30">
        <v>0.15</v>
      </c>
      <c r="H30" s="16">
        <v>-1.602152830898063</v>
      </c>
      <c r="I30" s="16">
        <v>-8.1118563109236561</v>
      </c>
      <c r="J30" s="16">
        <v>-2.6180293167276898</v>
      </c>
      <c r="R30">
        <v>0.15</v>
      </c>
      <c r="S30" s="16">
        <v>0.97164054516671117</v>
      </c>
      <c r="T30" s="16">
        <v>0.53024680548644287</v>
      </c>
      <c r="U30" s="16">
        <v>6.8326360231843852E-2</v>
      </c>
    </row>
    <row r="31" spans="7:21" x14ac:dyDescent="0.2">
      <c r="G31">
        <v>0.17499999999999999</v>
      </c>
      <c r="H31" s="16">
        <v>-1.8019973954765458</v>
      </c>
      <c r="I31" s="16">
        <v>-7.5293742737853684</v>
      </c>
      <c r="J31" s="16">
        <v>-2.8954055448039431</v>
      </c>
      <c r="R31">
        <v>0.17499999999999999</v>
      </c>
      <c r="S31" s="16">
        <v>0.96240644161456346</v>
      </c>
      <c r="T31" s="16">
        <v>0.5323702835387838</v>
      </c>
      <c r="U31" s="16">
        <v>8.5973751142174412E-2</v>
      </c>
    </row>
    <row r="32" spans="7:21" x14ac:dyDescent="0.2">
      <c r="G32">
        <v>0.2</v>
      </c>
      <c r="H32" s="16">
        <v>-1.9635677585508373</v>
      </c>
      <c r="I32" s="16">
        <v>-7.0586424936099341</v>
      </c>
      <c r="J32" s="16">
        <v>-3.0956413985642186</v>
      </c>
      <c r="R32">
        <v>0.2</v>
      </c>
      <c r="S32" s="16">
        <v>0.95314965109004435</v>
      </c>
      <c r="T32" s="16">
        <v>0.53430404234083828</v>
      </c>
      <c r="U32" s="16">
        <v>0.10264126741216635</v>
      </c>
    </row>
    <row r="33" spans="7:21" x14ac:dyDescent="0.2">
      <c r="G33">
        <v>0.22500000000000001</v>
      </c>
      <c r="H33" s="16">
        <v>-2.0919961443392263</v>
      </c>
      <c r="I33" s="16">
        <v>-6.6677254570918905</v>
      </c>
      <c r="J33" s="16">
        <v>-3.2390277322443253</v>
      </c>
      <c r="R33">
        <v>0.22500000000000001</v>
      </c>
      <c r="S33" s="16">
        <v>0.9440908622727745</v>
      </c>
      <c r="T33" s="16">
        <v>0.53608232151494983</v>
      </c>
      <c r="U33" s="16">
        <v>0.11823941472248098</v>
      </c>
    </row>
    <row r="34" spans="7:21" x14ac:dyDescent="0.2">
      <c r="G34">
        <v>0.25</v>
      </c>
      <c r="H34" s="16">
        <v>-2.1929135886179494</v>
      </c>
      <c r="I34" s="16">
        <v>-6.3361699787741843</v>
      </c>
      <c r="J34" s="16">
        <v>-3.3404549130485819</v>
      </c>
      <c r="R34">
        <v>0.25</v>
      </c>
      <c r="S34" s="16">
        <v>0.93535037639773089</v>
      </c>
      <c r="T34" s="16">
        <v>0.53773008181754922</v>
      </c>
      <c r="U34" s="16">
        <v>0.13278142408211238</v>
      </c>
    </row>
    <row r="35" spans="7:21" x14ac:dyDescent="0.2">
      <c r="G35">
        <v>0.27500000000000002</v>
      </c>
      <c r="H35" s="16">
        <v>-2.2714147831231166</v>
      </c>
      <c r="I35" s="16">
        <v>-6.050188535777953</v>
      </c>
      <c r="J35" s="16">
        <v>-3.4107091200530575</v>
      </c>
      <c r="R35">
        <v>0.27500000000000002</v>
      </c>
      <c r="S35" s="16">
        <v>0.92698741865483869</v>
      </c>
      <c r="T35" s="16">
        <v>0.53926619013650345</v>
      </c>
      <c r="U35" s="16">
        <v>0.14632579465455892</v>
      </c>
    </row>
    <row r="36" spans="7:21" x14ac:dyDescent="0.2">
      <c r="G36">
        <v>0.3</v>
      </c>
      <c r="H36" s="16">
        <v>-2.33178874220145</v>
      </c>
      <c r="I36" s="16">
        <v>-5.800102512564024</v>
      </c>
      <c r="J36" s="16">
        <v>-3.4576159270638143</v>
      </c>
      <c r="R36">
        <v>0.3</v>
      </c>
      <c r="S36" s="16">
        <v>0.9190247678947624</v>
      </c>
      <c r="T36" s="16">
        <v>0.54070532250424497</v>
      </c>
      <c r="U36" s="16">
        <v>0.15894823005997158</v>
      </c>
    </row>
    <row r="37" spans="7:21" x14ac:dyDescent="0.2">
      <c r="G37">
        <v>0.32500000000000001</v>
      </c>
      <c r="H37" s="16">
        <v>-2.3775343886529994</v>
      </c>
      <c r="I37" s="16">
        <v>-5.5788903822402629</v>
      </c>
      <c r="J37" s="16">
        <v>-3.4868953401928739</v>
      </c>
      <c r="R37">
        <v>0.32500000000000001</v>
      </c>
      <c r="S37" s="16">
        <v>0.91146384358788801</v>
      </c>
      <c r="T37" s="16">
        <v>0.54205916462931625</v>
      </c>
      <c r="U37" s="16">
        <v>0.17072803454366997</v>
      </c>
    </row>
    <row r="38" spans="7:21" x14ac:dyDescent="0.2">
      <c r="G38">
        <v>0.35</v>
      </c>
      <c r="H38" s="16">
        <v>-2.4114669631188956</v>
      </c>
      <c r="I38" s="16">
        <v>-5.381317447278307</v>
      </c>
      <c r="J38" s="16">
        <v>-3.502768984586754</v>
      </c>
      <c r="R38">
        <v>0.35</v>
      </c>
      <c r="S38" s="16">
        <v>0.90429388424858914</v>
      </c>
      <c r="T38" s="16">
        <v>0.54333720314222966</v>
      </c>
      <c r="U38" s="16">
        <v>0.18174171698865102</v>
      </c>
    </row>
    <row r="39" spans="7:21" x14ac:dyDescent="0.2">
      <c r="G39">
        <v>0.375</v>
      </c>
      <c r="H39" s="16">
        <v>-2.4358401002896026</v>
      </c>
      <c r="I39" s="16">
        <v>-5.2033904443893872</v>
      </c>
      <c r="J39" s="16">
        <v>-3.5083847845623568</v>
      </c>
      <c r="R39">
        <v>0.375</v>
      </c>
      <c r="S39" s="16">
        <v>0.89749751983738413</v>
      </c>
      <c r="T39" s="16">
        <v>0.54454726623093286</v>
      </c>
      <c r="U39" s="16">
        <v>0.19206021999355524</v>
      </c>
    </row>
    <row r="40" spans="7:21" x14ac:dyDescent="0.2">
      <c r="G40">
        <v>0.4</v>
      </c>
      <c r="H40" s="16">
        <v>-2.4524569546547772</v>
      </c>
      <c r="I40" s="16">
        <v>-5.0420027663190563</v>
      </c>
      <c r="J40" s="16">
        <v>-3.5061138557486102</v>
      </c>
      <c r="R40">
        <v>0.4</v>
      </c>
      <c r="S40" s="16">
        <v>0.89105414611313705</v>
      </c>
      <c r="T40" s="16">
        <v>0.54569590438017879</v>
      </c>
      <c r="U40" s="16">
        <v>0.20174797001137743</v>
      </c>
    </row>
    <row r="41" spans="7:21" x14ac:dyDescent="0.2">
      <c r="G41">
        <v>0.42499999999999999</v>
      </c>
      <c r="H41" s="16">
        <v>-2.4627631206721863</v>
      </c>
      <c r="I41" s="16">
        <v>-4.8946962509443113</v>
      </c>
      <c r="J41" s="16">
        <v>-3.4977593326991663</v>
      </c>
      <c r="R41">
        <v>0.42499999999999999</v>
      </c>
      <c r="S41" s="16">
        <v>0.88494195417294719</v>
      </c>
      <c r="T41" s="16">
        <v>0.54678866549545457</v>
      </c>
      <c r="U41" s="16">
        <v>0.21086282561849534</v>
      </c>
    </row>
    <row r="42" spans="7:21" x14ac:dyDescent="0.2">
      <c r="G42">
        <v>0.45</v>
      </c>
      <c r="H42" s="16">
        <v>-2.4679214083227792</v>
      </c>
      <c r="I42" s="16">
        <v>-4.7594968144256304</v>
      </c>
      <c r="J42" s="16">
        <v>-3.4847045946806059</v>
      </c>
      <c r="R42">
        <v>0.45</v>
      </c>
      <c r="S42" s="16">
        <v>0.87913913322249704</v>
      </c>
      <c r="T42" s="16">
        <v>0.54783029816827333</v>
      </c>
      <c r="U42" s="16">
        <v>0.21945644699425179</v>
      </c>
    </row>
    <row r="43" spans="7:21" x14ac:dyDescent="0.2">
      <c r="G43">
        <v>0.47499999999999998</v>
      </c>
      <c r="H43" s="16">
        <v>-2.4688709333490526</v>
      </c>
      <c r="I43" s="16">
        <v>-4.6347983117107674</v>
      </c>
      <c r="J43" s="16">
        <v>-3.4680195686064561</v>
      </c>
      <c r="R43">
        <v>0.47499999999999998</v>
      </c>
      <c r="S43" s="16">
        <v>0.87362456312842307</v>
      </c>
      <c r="T43" s="16">
        <v>0.54882490478175128</v>
      </c>
      <c r="U43" s="16">
        <v>0.2275748398318039</v>
      </c>
    </row>
    <row r="44" spans="7:21" x14ac:dyDescent="0.2">
      <c r="G44">
        <v>0.5</v>
      </c>
      <c r="H44" s="16">
        <v>-2.4663734380456797</v>
      </c>
      <c r="I44" s="16">
        <v>-4.5192787437217268</v>
      </c>
      <c r="J44" s="16">
        <v>-3.4485377849538619</v>
      </c>
      <c r="R44">
        <v>0.5</v>
      </c>
      <c r="S44" s="16">
        <v>0.86837819171674324</v>
      </c>
      <c r="T44" s="16">
        <v>0.54977605881050651</v>
      </c>
      <c r="U44" s="16">
        <v>0.23525894744923051</v>
      </c>
    </row>
    <row r="45" spans="7:21" x14ac:dyDescent="0.2">
      <c r="G45">
        <v>0.52500000000000002</v>
      </c>
      <c r="H45" s="16">
        <v>-2.4610495111212396</v>
      </c>
      <c r="I45" s="16">
        <v>-4.4118386745432083</v>
      </c>
      <c r="J45" s="16">
        <v>-3.4269128269812477</v>
      </c>
      <c r="R45">
        <v>0.52500000000000002</v>
      </c>
      <c r="S45" s="16">
        <v>0.8633812178332525</v>
      </c>
      <c r="T45" s="16">
        <v>0.55068689605190047</v>
      </c>
      <c r="U45" s="16">
        <v>0.2425452286227813</v>
      </c>
    </row>
    <row r="46" spans="7:21" x14ac:dyDescent="0.2">
      <c r="G46">
        <v>0.55000000000000004</v>
      </c>
      <c r="H46" s="16">
        <v>-2.4534069284613418</v>
      </c>
      <c r="I46" s="16">
        <v>-4.3115552193214333</v>
      </c>
      <c r="J46" s="16">
        <v>-3.4036601087441536</v>
      </c>
      <c r="R46">
        <v>0.55000000000000004</v>
      </c>
      <c r="S46" s="16">
        <v>0.85861615578441297</v>
      </c>
      <c r="T46" s="16">
        <v>0.55156018654209071</v>
      </c>
      <c r="U46" s="16">
        <v>0.24946619246664589</v>
      </c>
    </row>
    <row r="47" spans="7:21" x14ac:dyDescent="0.2">
      <c r="G47">
        <v>0.57499999999999996</v>
      </c>
      <c r="H47" s="16">
        <v>-2.4438628854546591</v>
      </c>
      <c r="I47" s="16">
        <v>-4.2176471533558004</v>
      </c>
      <c r="J47" s="16">
        <v>-3.3791880977505024</v>
      </c>
      <c r="R47">
        <v>0.57499999999999996</v>
      </c>
      <c r="S47" s="16">
        <v>0.85406682863938221</v>
      </c>
      <c r="T47" s="16">
        <v>0.5523983919345824</v>
      </c>
      <c r="U47" s="16">
        <v>0.25605087947686161</v>
      </c>
    </row>
    <row r="48" spans="7:21" x14ac:dyDescent="0.2">
      <c r="G48">
        <v>0.6</v>
      </c>
      <c r="H48" s="16">
        <v>-2.4327615014069695</v>
      </c>
      <c r="I48" s="16">
        <v>-4.1294480984754403</v>
      </c>
      <c r="J48" s="16">
        <v>-3.3538218651838374</v>
      </c>
      <c r="R48">
        <v>0.6</v>
      </c>
      <c r="S48" s="16">
        <v>0.84971832027557803</v>
      </c>
      <c r="T48" s="16">
        <v>0.55320371178168248</v>
      </c>
      <c r="U48" s="16">
        <v>0.26232528701615471</v>
      </c>
    </row>
    <row r="49" spans="7:21" x14ac:dyDescent="0.2">
      <c r="G49">
        <v>0.625</v>
      </c>
      <c r="H49" s="16">
        <v>-2.4203876608188377</v>
      </c>
      <c r="I49" s="16">
        <v>-4.0463856654335846</v>
      </c>
      <c r="J49" s="16">
        <v>-3.3278210038329274</v>
      </c>
      <c r="R49">
        <v>0.625</v>
      </c>
      <c r="S49" s="16">
        <v>0.84555690495552416</v>
      </c>
      <c r="T49" s="16">
        <v>0.55397812123620604</v>
      </c>
      <c r="U49" s="16">
        <v>0.26831274200415584</v>
      </c>
    </row>
    <row r="50" spans="7:21" x14ac:dyDescent="0.2">
      <c r="G50">
        <v>0.65</v>
      </c>
      <c r="H50" s="16">
        <v>-2.4069780089884034</v>
      </c>
      <c r="I50" s="16">
        <v>-3.9679650490104907</v>
      </c>
      <c r="J50" s="16">
        <v>-3.3013933721613671</v>
      </c>
      <c r="R50">
        <v>0.65</v>
      </c>
      <c r="S50" s="16">
        <v>0.84156996618207791</v>
      </c>
      <c r="T50" s="16">
        <v>0.55472340204226733</v>
      </c>
      <c r="U50" s="16">
        <v>0.27403422554860962</v>
      </c>
    </row>
    <row r="51" spans="7:21" x14ac:dyDescent="0.2">
      <c r="G51">
        <v>0.67500000000000004</v>
      </c>
      <c r="H51" s="16">
        <v>-2.3927297289341469</v>
      </c>
      <c r="I51" s="16">
        <v>-3.8937559940499278</v>
      </c>
      <c r="J51" s="16">
        <v>-3.2747057174359488</v>
      </c>
      <c r="R51">
        <v>0.67500000000000004</v>
      </c>
      <c r="S51" s="16">
        <v>0.8377459120896229</v>
      </c>
      <c r="T51" s="16">
        <v>0.55544116822096889</v>
      </c>
      <c r="U51" s="16">
        <v>0.27950865488963478</v>
      </c>
    </row>
    <row r="52" spans="7:21" x14ac:dyDescent="0.2">
      <c r="G52">
        <v>0.7</v>
      </c>
      <c r="H52" s="16">
        <v>-2.3778075811688071</v>
      </c>
      <c r="I52" s="16">
        <v>-3.823382343037276</v>
      </c>
      <c r="J52" s="16">
        <v>-3.2478919453207311</v>
      </c>
      <c r="R52">
        <v>0.7</v>
      </c>
      <c r="S52" s="16">
        <v>0.83407409175837144</v>
      </c>
      <c r="T52" s="16">
        <v>0.55613288752134071</v>
      </c>
      <c r="U52" s="16">
        <v>0.2847531279811607</v>
      </c>
    </row>
    <row r="53" spans="7:21" x14ac:dyDescent="0.2">
      <c r="G53">
        <v>0.72499999999999998</v>
      </c>
      <c r="H53" s="16">
        <v>-2.3623495771399852</v>
      </c>
      <c r="I53" s="16">
        <v>-3.756513581750534</v>
      </c>
      <c r="J53" s="16">
        <v>-3.2210596003555096</v>
      </c>
      <c r="R53">
        <v>0.72499999999999998</v>
      </c>
      <c r="S53" s="16">
        <v>0.83054471500370042</v>
      </c>
      <c r="T53" s="16">
        <v>0.55679989946054786</v>
      </c>
      <c r="U53" s="16">
        <v>0.28978313565841823</v>
      </c>
    </row>
    <row r="54" spans="7:21" x14ac:dyDescent="0.2">
      <c r="G54">
        <v>0.75</v>
      </c>
      <c r="H54" s="16">
        <v>-2.346471572917304</v>
      </c>
      <c r="I54" s="16">
        <v>-3.6928579465959728</v>
      </c>
      <c r="J54" s="16">
        <v>-3.1942949760513044</v>
      </c>
      <c r="R54">
        <v>0.75</v>
      </c>
      <c r="S54" s="16">
        <v>0.82714877702313472</v>
      </c>
      <c r="T54" s="16">
        <v>0.5574434305942545</v>
      </c>
      <c r="U54" s="16">
        <v>0.2946127458317252</v>
      </c>
    </row>
    <row r="55" spans="7:21" x14ac:dyDescent="0.2">
      <c r="G55">
        <v>0.77500000000000002</v>
      </c>
      <c r="H55" s="16">
        <v>-2.3302710055194269</v>
      </c>
      <c r="I55" s="16">
        <v>-3.6321567636614116</v>
      </c>
      <c r="J55" s="16">
        <v>-3.1676671678206336</v>
      </c>
      <c r="R55">
        <v>0.77500000000000002</v>
      </c>
      <c r="S55" s="16">
        <v>0.82387798854458283</v>
      </c>
      <c r="T55" s="16">
        <v>0.55806460752032849</v>
      </c>
      <c r="U55" s="16">
        <v>0.2992547636075753</v>
      </c>
    </row>
    <row r="56" spans="7:21" x14ac:dyDescent="0.2">
      <c r="G56">
        <v>0.8</v>
      </c>
      <c r="H56" s="16">
        <v>-2.3138299452307947</v>
      </c>
      <c r="I56" s="16">
        <v>-3.5741797674498823</v>
      </c>
      <c r="J56" s="16">
        <v>-3.1412313048711544</v>
      </c>
      <c r="R56">
        <v>0.8</v>
      </c>
      <c r="S56" s="16">
        <v>0.82072471165924632</v>
      </c>
      <c r="T56" s="16">
        <v>0.55866446801442682</v>
      </c>
      <c r="U56" s="16">
        <v>0.30372087072024223</v>
      </c>
    </row>
    <row r="57" spans="7:21" x14ac:dyDescent="0.2">
      <c r="G57">
        <v>0.82499999999999996</v>
      </c>
      <c r="H57" s="16">
        <v>-2.2972175996528739</v>
      </c>
      <c r="I57" s="16">
        <v>-3.5187212049608521</v>
      </c>
      <c r="J57" s="16">
        <v>-3.1150311403988757</v>
      </c>
      <c r="R57">
        <v>0.82499999999999996</v>
      </c>
      <c r="S57" s="16">
        <v>0.8176819012432246</v>
      </c>
      <c r="T57" s="16">
        <v>0.5592439706157013</v>
      </c>
      <c r="U57" s="16">
        <v>0.30802174718459668</v>
      </c>
    </row>
    <row r="58" spans="7:21" x14ac:dyDescent="0.2">
      <c r="G58">
        <v>0.85</v>
      </c>
      <c r="H58" s="16">
        <v>-2.2804923762844904</v>
      </c>
      <c r="I58" s="16">
        <v>-3.465596573958666</v>
      </c>
      <c r="J58" s="16">
        <v>-3.0891011372440662</v>
      </c>
      <c r="R58">
        <v>0.85</v>
      </c>
      <c r="S58" s="16">
        <v>0.81474305170939754</v>
      </c>
      <c r="T58" s="16">
        <v>0.55980400291867727</v>
      </c>
      <c r="U58" s="16">
        <v>0.31216717766218721</v>
      </c>
    </row>
    <row r="59" spans="7:21" x14ac:dyDescent="0.2">
      <c r="G59">
        <v>0.875</v>
      </c>
      <c r="H59" s="16">
        <v>-2.2637035880423113</v>
      </c>
      <c r="I59" s="16">
        <v>-3.414639876881298</v>
      </c>
      <c r="J59" s="16">
        <v>-3.0634681546178859</v>
      </c>
      <c r="R59">
        <v>0.875</v>
      </c>
      <c r="S59" s="16">
        <v>0.81190214874399147</v>
      </c>
      <c r="T59" s="16">
        <v>0.56034538877878892</v>
      </c>
      <c r="U59" s="16">
        <v>0.31616614466836535</v>
      </c>
    </row>
    <row r="60" spans="7:21" x14ac:dyDescent="0.2">
      <c r="G60">
        <v>0.9</v>
      </c>
      <c r="H60" s="16">
        <v>-2.2468928687487204</v>
      </c>
      <c r="I60" s="16">
        <v>-3.3657012967031035</v>
      </c>
      <c r="J60" s="16">
        <v>-3.0381528177267394</v>
      </c>
      <c r="R60">
        <v>0.9</v>
      </c>
      <c r="S60" s="16">
        <v>0.80915362564298787</v>
      </c>
      <c r="T60" s="16">
        <v>0.5608688946008199</v>
      </c>
      <c r="U60" s="16">
        <v>0.32002691043487264</v>
      </c>
    </row>
    <row r="61" spans="7:21" x14ac:dyDescent="0.2">
      <c r="G61">
        <v>0.92500000000000004</v>
      </c>
      <c r="H61" s="16">
        <v>-2.2300953520519817</v>
      </c>
      <c r="I61" s="16">
        <v>-3.318645220176756</v>
      </c>
      <c r="J61" s="16">
        <v>-3.0131706340756272</v>
      </c>
      <c r="R61">
        <v>0.92500000000000004</v>
      </c>
      <c r="S61" s="16">
        <v>0.80649232385426284</v>
      </c>
      <c r="T61" s="16">
        <v>0.56137523484917429</v>
      </c>
      <c r="U61" s="16">
        <v>0.32375708897468869</v>
      </c>
    </row>
    <row r="62" spans="7:21" x14ac:dyDescent="0.2">
      <c r="G62">
        <v>0.95</v>
      </c>
      <c r="H62" s="16">
        <v>-2.2133406566143679</v>
      </c>
      <c r="I62" s="16">
        <v>-3.2733485486888689</v>
      </c>
      <c r="J62" s="16">
        <v>-2.9885329064485653</v>
      </c>
      <c r="R62">
        <v>0.95</v>
      </c>
      <c r="S62" s="16">
        <v>0.80391345734033892</v>
      </c>
      <c r="T62" s="16">
        <v>0.56186507689467602</v>
      </c>
      <c r="U62" s="16">
        <v>0.32736370966840028</v>
      </c>
    </row>
    <row r="63" spans="7:21" x14ac:dyDescent="0.2">
      <c r="G63">
        <v>0.97499999999999998</v>
      </c>
      <c r="H63" s="16">
        <v>-2.1966537120357641</v>
      </c>
      <c r="I63" s="16">
        <v>-3.2296992485254932</v>
      </c>
      <c r="J63" s="16">
        <v>-2.9642474819708617</v>
      </c>
      <c r="R63">
        <v>0.97499999999999998</v>
      </c>
      <c r="S63" s="16">
        <v>0.80141258039615948</v>
      </c>
      <c r="T63" s="16">
        <v>0.56233904529312606</v>
      </c>
      <c r="U63" s="16">
        <v>0.33085327349839311</v>
      </c>
    </row>
    <row r="64" spans="7:21" x14ac:dyDescent="0.2">
      <c r="G64">
        <v>1</v>
      </c>
      <c r="H64" s="16">
        <v>-2.1800554533628578</v>
      </c>
      <c r="I64" s="16">
        <v>-3.1875951014338297</v>
      </c>
      <c r="J64" s="16">
        <v>-2.9403193684682121</v>
      </c>
      <c r="R64">
        <v>1</v>
      </c>
      <c r="S64" s="16">
        <v>0.79898555858145714</v>
      </c>
      <c r="T64" s="16">
        <v>0.56279772557509011</v>
      </c>
      <c r="U64" s="16">
        <v>0.33423180289373555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41bf7de-e2e5-46df-8d67-82607df9deaa}" enabled="0" method="" siteId="{741bf7de-e2e5-46df-8d67-82607df9dea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Option Payoff</vt:lpstr>
      <vt:lpstr>Payoff Pattern</vt:lpstr>
      <vt:lpstr>Protective Put</vt:lpstr>
      <vt:lpstr>Bull Spread</vt:lpstr>
      <vt:lpstr>Black-Scholes</vt:lpstr>
      <vt:lpstr>BSM VBA</vt:lpstr>
      <vt:lpstr>Greeks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Yuting Meng</dc:creator>
  <cp:keywords/>
  <dc:description/>
  <cp:lastModifiedBy>Chelsea Anestal</cp:lastModifiedBy>
  <cp:revision/>
  <dcterms:created xsi:type="dcterms:W3CDTF">2015-06-05T18:17:20Z</dcterms:created>
  <dcterms:modified xsi:type="dcterms:W3CDTF">2026-05-03T01:23:29Z</dcterms:modified>
  <cp:category/>
  <cp:contentStatus/>
</cp:coreProperties>
</file>