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persons/person.xml" ContentType="application/vnd.ms-excel.person+xml"/>
  <Override PartName="/xl/calcChain.xml" ContentType="application/vnd.openxmlformats-officedocument.spreadsheetml.calcChain+xml"/>
  <Override PartName="/docMetadata/LabelInfo.xml" ContentType="application/vnd.ms-office.classificationlabel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404" codeName="{643B0D74-A683-FBA9-23B4-8A0AA6E0B6B9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usfedu-my.sharepoint.com/personal/cta1_usf_edu/Documents/Coursework/Spring 2026/Financial Modeling and Analytics/Mod 5 - VBA/"/>
    </mc:Choice>
  </mc:AlternateContent>
  <xr:revisionPtr revIDLastSave="208" documentId="8_{396B061D-2F74-BB47-8143-D13FF3BDA9EA}" xr6:coauthVersionLast="47" xr6:coauthVersionMax="47" xr10:uidLastSave="{0D4E6F32-7CCC-AE47-8E69-817015D840C0}"/>
  <bookViews>
    <workbookView xWindow="14980" yWindow="900" windowWidth="13820" windowHeight="16900" xr2:uid="{00000000-000D-0000-FFFF-FFFF00000000}"/>
  </bookViews>
  <sheets>
    <sheet name="Sheet1" sheetId="1" r:id="rId1"/>
  </sheets>
  <functionGroups builtInGroupCount="19"/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41" i="1" l="1" a="1"/>
  <c r="B35" i="1" a="1"/>
  <c r="B15" i="1" a="1"/>
  <c r="B23" i="1" a="1"/>
  <c r="B4" i="1" a="1"/>
  <c r="B13" i="1" a="1"/>
  <c r="B14" i="1" a="1"/>
  <c r="B9" i="1" a="1"/>
  <c r="B8" i="1" a="1"/>
  <c r="B29" i="1" a="1"/>
  <c r="B41" i="1" l="1"/>
  <c r="B35" i="1"/>
  <c r="B8" i="1"/>
  <c r="B9" i="1"/>
  <c r="B14" i="1"/>
  <c r="B13" i="1"/>
  <c r="B4" i="1"/>
  <c r="B23" i="1"/>
  <c r="B15" i="1"/>
  <c r="B29" i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<sst xmlns="http://schemas.openxmlformats.org/spreadsheetml/2006/main" count="19" uniqueCount="14">
  <si>
    <t>Plus Function</t>
  </si>
  <si>
    <t>Plus</t>
  </si>
  <si>
    <t>Parameter 1</t>
  </si>
  <si>
    <t>Parameter 2</t>
  </si>
  <si>
    <t>OneLineIf function</t>
  </si>
  <si>
    <t>Parameter</t>
  </si>
  <si>
    <t>BlockIf function</t>
  </si>
  <si>
    <t>SumRange function</t>
  </si>
  <si>
    <t>Sumrange</t>
  </si>
  <si>
    <t>SumRange1</t>
  </si>
  <si>
    <t>Payback function</t>
  </si>
  <si>
    <t>Period</t>
  </si>
  <si>
    <t>CFs</t>
  </si>
  <si>
    <t>Payback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</si>
</sst>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2"/>
      <name val="Aptos Narrow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">
    <xf numFmtId="0" fontId="0" fillId="0" borderId="0" xfId="0"/>
    <xf numFmtId="0" fontId="1" fillId="0" borderId="0" xfId="0" applyFont="1"/>
  </cellXfs>
  <cellStyles count="1">
    <cellStyle name="Norma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styles" Target="styles.xml"/><Relationship Id="rId7" Type="http://schemas.openxmlformats.org/officeDocument/2006/relationships/calcChain" Target="calcChain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eetMetadata" Target="metadata.xml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43</xdr:row>
          <xdr:rowOff>76200</xdr:rowOff>
        </xdr:from>
        <xdr:to>
          <xdr:col>5</xdr:col>
          <xdr:colOff>177800</xdr:colOff>
          <xdr:row>45</xdr:row>
          <xdr:rowOff>76200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9E419087-14EE-CF97-EB57-57C6F080E046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US" sz="1200" b="0" i="0" u="none" strike="noStrike" baseline="0">
                  <a:solidFill>
                    <a:srgbClr val="000000"/>
                  </a:solidFill>
                  <a:latin typeface="Aptos Narrow" charset="0"/>
                </a:rPr>
                <a:t>Say hi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10</xdr:col>
      <xdr:colOff>0</xdr:colOff>
      <xdr:row>28</xdr:row>
      <xdr:rowOff>0</xdr:rowOff>
    </xdr:from>
    <xdr:to>
      <xdr:col>21</xdr:col>
      <xdr:colOff>368300</xdr:colOff>
      <xdr:row>57</xdr:row>
      <xdr:rowOff>41007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70C3E620-9022-2508-5184-1E8FC98F2D9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7264400" y="5334000"/>
          <a:ext cx="7772400" cy="5565507"/>
        </a:xfrm>
        <a:prstGeom prst="rect">
          <a:avLst/>
        </a:prstGeom>
      </xdr:spPr>
    </xdr:pic>
    <xdr:clientData/>
  </xdr:twoCellAnchor>
</xdr:wsDr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F41"/>
  <sheetViews>
    <sheetView tabSelected="1" topLeftCell="A9" workbookViewId="0">
      <selection activeCell="H39" sqref="H39"/>
    </sheetView>
  </sheetViews>
  <sheetFormatPr baseColWidth="10" defaultColWidth="8.83203125" defaultRowHeight="15"/>
  <cols>
    <col min="1" max="1" width="15.83203125" customWidth="1"/>
  </cols>
  <sheetData>
    <row r="1" spans="1:2">
      <c r="A1" s="1" t="s">
        <v>0</v>
      </c>
    </row>
    <row r="2" spans="1:2">
      <c r="A2" t="s">
        <v>2</v>
      </c>
      <c r="B2">
        <v>35</v>
      </c>
    </row>
    <row r="3" spans="1:2">
      <c r="A3" t="s">
        <v>3</v>
      </c>
      <c r="B3">
        <v>42</v>
      </c>
    </row>
    <row r="4" spans="1:2">
      <c r="A4" t="s">
        <v>1</v>
      </c>
      <c r="B4" cm="1">
        <f t="array" ref="B4">[0]!plus(B2,B3)</f>
        <v>77</v>
      </c>
    </row>
    <row r="6" spans="1:2">
      <c r="A6" s="1" t="s">
        <v>4</v>
      </c>
    </row>
    <row r="7" spans="1:2">
      <c r="A7" t="s">
        <v>5</v>
      </c>
    </row>
    <row r="8" spans="1:2">
      <c r="A8">
        <v>8</v>
      </c>
      <c r="B8" cm="1">
        <f t="array" ref="B8">[0]!OneLineIf(A8)</f>
        <v>1</v>
      </c>
    </row>
    <row r="9" spans="1:2">
      <c r="A9">
        <v>-8</v>
      </c>
      <c r="B9" cm="1">
        <f t="array" ref="B9">[0]!OneLineIf(A9)</f>
        <v>-1</v>
      </c>
    </row>
    <row r="11" spans="1:2">
      <c r="A11" s="1" t="s">
        <v>6</v>
      </c>
    </row>
    <row r="12" spans="1:2">
      <c r="A12" t="s">
        <v>5</v>
      </c>
    </row>
    <row r="13" spans="1:2">
      <c r="A13">
        <v>8</v>
      </c>
      <c r="B13" cm="1">
        <f t="array" ref="B13">[0]!blockif(A13)</f>
        <v>1</v>
      </c>
    </row>
    <row r="14" spans="1:2">
      <c r="A14">
        <v>0</v>
      </c>
      <c r="B14" cm="1">
        <f t="array" ref="B14">[0]!blockif(A14)</f>
        <v>0</v>
      </c>
    </row>
    <row r="15" spans="1:2">
      <c r="A15">
        <v>-8</v>
      </c>
      <c r="B15" cm="1">
        <f t="array" ref="B15">[0]!blockif(A15)</f>
        <v>-1</v>
      </c>
    </row>
    <row r="18" spans="1:3">
      <c r="A18" s="1" t="s">
        <v>7</v>
      </c>
    </row>
    <row r="19" spans="1:3">
      <c r="A19">
        <v>1</v>
      </c>
    </row>
    <row r="20" spans="1:3">
      <c r="A20">
        <v>2</v>
      </c>
    </row>
    <row r="21" spans="1:3">
      <c r="A21">
        <v>3</v>
      </c>
    </row>
    <row r="22" spans="1:3">
      <c r="A22">
        <v>4</v>
      </c>
    </row>
    <row r="23" spans="1:3">
      <c r="A23" t="s">
        <v>8</v>
      </c>
      <c r="B23" cm="1">
        <f t="array" ref="B23">[0]!SumRange(A19:A22)</f>
        <v>10</v>
      </c>
    </row>
    <row r="26" spans="1:3">
      <c r="A26">
        <v>3</v>
      </c>
      <c r="B26">
        <v>4</v>
      </c>
      <c r="C26">
        <v>5</v>
      </c>
    </row>
    <row r="27" spans="1:3">
      <c r="A27">
        <v>6</v>
      </c>
      <c r="B27">
        <v>7</v>
      </c>
      <c r="C27">
        <v>8</v>
      </c>
    </row>
    <row r="28" spans="1:3">
      <c r="A28">
        <v>9</v>
      </c>
      <c r="B28">
        <v>10</v>
      </c>
      <c r="C28">
        <v>11</v>
      </c>
    </row>
    <row r="29" spans="1:3">
      <c r="A29" t="s">
        <v>9</v>
      </c>
      <c r="B29" cm="1">
        <f t="array" ref="B29">SumRange1(A26:C28,5)</f>
        <v>25</v>
      </c>
    </row>
    <row r="32" spans="1:3">
      <c r="A32" t="s">
        <v>10</v>
      </c>
    </row>
    <row r="33" spans="1:6">
      <c r="A33" t="s">
        <v>11</v>
      </c>
      <c r="B33">
        <v>0</v>
      </c>
      <c r="C33">
        <v>1</v>
      </c>
      <c r="D33">
        <v>2</v>
      </c>
      <c r="E33">
        <v>3</v>
      </c>
      <c r="F33">
        <v>4</v>
      </c>
    </row>
    <row r="34" spans="1:6">
      <c r="A34" t="s">
        <v>12</v>
      </c>
      <c r="B34">
        <v>-1500</v>
      </c>
      <c r="C34">
        <v>400</v>
      </c>
      <c r="D34">
        <v>600</v>
      </c>
      <c r="E34">
        <v>600</v>
      </c>
      <c r="F34">
        <v>300</v>
      </c>
    </row>
    <row r="35" spans="1:6">
      <c r="A35" t="s">
        <v>13</v>
      </c>
      <c r="B35" cm="1">
        <f t="array" ref="B35">PayBack(B34:F34,5)</f>
        <v>3</v>
      </c>
    </row>
    <row r="38" spans="1:6">
      <c r="A38" t="s">
        <v>10</v>
      </c>
    </row>
    <row r="39" spans="1:6">
      <c r="A39" t="s">
        <v>11</v>
      </c>
      <c r="B39">
        <v>0</v>
      </c>
      <c r="C39">
        <v>1</v>
      </c>
      <c r="D39">
        <v>2</v>
      </c>
      <c r="E39">
        <v>3</v>
      </c>
      <c r="F39">
        <v>4</v>
      </c>
    </row>
    <row r="40" spans="1:6">
      <c r="A40" t="s">
        <v>12</v>
      </c>
      <c r="B40">
        <v>-4000</v>
      </c>
      <c r="C40">
        <v>400</v>
      </c>
      <c r="D40">
        <v>600</v>
      </c>
      <c r="E40">
        <v>600</v>
      </c>
      <c r="F40">
        <v>300</v>
      </c>
    </row>
    <row r="41" spans="1:6">
      <c r="A41" t="s">
        <v>13</v>
      </c>
      <c r="B41" t="str" cm="1">
        <f t="array" ref="B41">PayBack1(B40:F40,5)</f>
        <v>No Payback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Sayhi">
                <anchor moveWithCells="1" sizeWithCells="1">
                  <from>
                    <xdr:col>3</xdr:col>
                    <xdr:colOff>0</xdr:colOff>
                    <xdr:row>43</xdr:row>
                    <xdr:rowOff>76200</xdr:rowOff>
                  </from>
                  <to>
                    <xdr:col>5</xdr:col>
                    <xdr:colOff>177800</xdr:colOff>
                    <xdr:row>45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docMetadata/LabelInfo.xml><?xml version="1.0" encoding="utf-8"?>
<clbl:labelList xmlns:clbl="http://schemas.microsoft.com/office/2020/mipLabelMetadata">
  <clbl:label id="{741bf7de-e2e5-46df-8d67-82607df9deaa}" enabled="0" method="" siteId="{741bf7de-e2e5-46df-8d67-82607df9deaa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>Chelsea Anestal</cp:lastModifiedBy>
  <cp:revision/>
  <dcterms:created xsi:type="dcterms:W3CDTF">2026-04-07T01:36:14Z</dcterms:created>
  <dcterms:modified xsi:type="dcterms:W3CDTF">2026-04-15T10:12:19Z</dcterms:modified>
  <cp:category/>
  <cp:contentStatus/>
</cp:coreProperties>
</file>